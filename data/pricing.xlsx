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TechCare\Nesma\Typical Demo\"/>
    </mc:Choice>
  </mc:AlternateContent>
  <xr:revisionPtr revIDLastSave="0" documentId="13_ncr:1_{124F741E-DA87-4FAE-A29F-45C6F160C0D2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3" i="1" l="1"/>
  <c r="K3" i="1"/>
  <c r="H497" i="1" s="1"/>
  <c r="P819" i="1"/>
  <c r="N819" i="1"/>
  <c r="F818" i="1"/>
  <c r="F1008" i="1"/>
  <c r="E1008" i="1"/>
  <c r="G1008" i="1" s="1"/>
  <c r="H1008" i="1" s="1"/>
  <c r="F1007" i="1"/>
  <c r="E1007" i="1"/>
  <c r="G1007" i="1" s="1"/>
  <c r="H1007" i="1" s="1"/>
  <c r="F1006" i="1"/>
  <c r="E1006" i="1"/>
  <c r="G1006" i="1" s="1"/>
  <c r="H1006" i="1" s="1"/>
  <c r="F1005" i="1"/>
  <c r="E1005" i="1"/>
  <c r="G1005" i="1" s="1"/>
  <c r="H1005" i="1" s="1"/>
  <c r="H1004" i="1"/>
  <c r="F1004" i="1"/>
  <c r="E1004" i="1"/>
  <c r="G1004" i="1" s="1"/>
  <c r="F1003" i="1"/>
  <c r="E1003" i="1"/>
  <c r="G1003" i="1" s="1"/>
  <c r="G1000" i="1"/>
  <c r="F997" i="1"/>
  <c r="E997" i="1"/>
  <c r="G997" i="1" s="1"/>
  <c r="H997" i="1" s="1"/>
  <c r="G996" i="1"/>
  <c r="H996" i="1" s="1"/>
  <c r="F996" i="1"/>
  <c r="E996" i="1"/>
  <c r="F995" i="1"/>
  <c r="E995" i="1"/>
  <c r="G995" i="1" s="1"/>
  <c r="H995" i="1" s="1"/>
  <c r="F994" i="1"/>
  <c r="E994" i="1"/>
  <c r="G994" i="1" s="1"/>
  <c r="H994" i="1" s="1"/>
  <c r="H993" i="1"/>
  <c r="F993" i="1"/>
  <c r="E993" i="1"/>
  <c r="G993" i="1" s="1"/>
  <c r="G990" i="1"/>
  <c r="E986" i="1"/>
  <c r="G986" i="1" s="1"/>
  <c r="H986" i="1" s="1"/>
  <c r="H985" i="1"/>
  <c r="E985" i="1"/>
  <c r="G985" i="1" s="1"/>
  <c r="F984" i="1"/>
  <c r="F985" i="1" s="1"/>
  <c r="F986" i="1" s="1"/>
  <c r="E984" i="1"/>
  <c r="G984" i="1" s="1"/>
  <c r="H984" i="1" s="1"/>
  <c r="F911" i="1"/>
  <c r="F903" i="1"/>
  <c r="F899" i="1"/>
  <c r="F895" i="1"/>
  <c r="F894" i="1"/>
  <c r="F889" i="1"/>
  <c r="F888" i="1"/>
  <c r="F883" i="1"/>
  <c r="F882" i="1"/>
  <c r="F877" i="1"/>
  <c r="E877" i="1"/>
  <c r="G877" i="1" s="1"/>
  <c r="H877" i="1" s="1"/>
  <c r="G876" i="1"/>
  <c r="H876" i="1" s="1"/>
  <c r="F876" i="1"/>
  <c r="E876" i="1"/>
  <c r="G873" i="1"/>
  <c r="G871" i="1"/>
  <c r="H871" i="1" s="1"/>
  <c r="F871" i="1"/>
  <c r="E871" i="1"/>
  <c r="G870" i="1"/>
  <c r="H870" i="1" s="1"/>
  <c r="F870" i="1"/>
  <c r="E870" i="1"/>
  <c r="G867" i="1"/>
  <c r="F865" i="1"/>
  <c r="F864" i="1"/>
  <c r="F855" i="1"/>
  <c r="F857" i="1" s="1"/>
  <c r="F851" i="1"/>
  <c r="C851" i="1"/>
  <c r="G846" i="1"/>
  <c r="H846" i="1" s="1"/>
  <c r="F846" i="1"/>
  <c r="E846" i="1"/>
  <c r="G845" i="1"/>
  <c r="F841" i="1"/>
  <c r="F839" i="1"/>
  <c r="F835" i="1"/>
  <c r="F831" i="1"/>
  <c r="F825" i="1"/>
  <c r="E823" i="1"/>
  <c r="E820" i="1"/>
  <c r="F813" i="1"/>
  <c r="E813" i="1"/>
  <c r="G813" i="1" s="1"/>
  <c r="H813" i="1" s="1"/>
  <c r="E812" i="1"/>
  <c r="G812" i="1" s="1"/>
  <c r="H812" i="1" s="1"/>
  <c r="G810" i="1"/>
  <c r="F808" i="1"/>
  <c r="G808" i="1" s="1"/>
  <c r="H808" i="1" s="1"/>
  <c r="E808" i="1"/>
  <c r="D808" i="1"/>
  <c r="H807" i="1"/>
  <c r="G807" i="1"/>
  <c r="E807" i="1"/>
  <c r="G805" i="1"/>
  <c r="F803" i="1"/>
  <c r="E803" i="1"/>
  <c r="G803" i="1" s="1"/>
  <c r="H803" i="1" s="1"/>
  <c r="F802" i="1"/>
  <c r="E802" i="1"/>
  <c r="G802" i="1" s="1"/>
  <c r="H802" i="1" s="1"/>
  <c r="G801" i="1"/>
  <c r="H801" i="1" s="1"/>
  <c r="F801" i="1"/>
  <c r="E801" i="1"/>
  <c r="G799" i="1"/>
  <c r="F797" i="1"/>
  <c r="G797" i="1" s="1"/>
  <c r="H797" i="1" s="1"/>
  <c r="E797" i="1"/>
  <c r="G796" i="1"/>
  <c r="H796" i="1" s="1"/>
  <c r="F796" i="1"/>
  <c r="E796" i="1"/>
  <c r="G794" i="1"/>
  <c r="F792" i="1"/>
  <c r="E792" i="1"/>
  <c r="G792" i="1" s="1"/>
  <c r="H792" i="1" s="1"/>
  <c r="D792" i="1"/>
  <c r="G791" i="1"/>
  <c r="H791" i="1" s="1"/>
  <c r="F791" i="1"/>
  <c r="E791" i="1"/>
  <c r="G788" i="1"/>
  <c r="F786" i="1"/>
  <c r="G786" i="1" s="1"/>
  <c r="H786" i="1" s="1"/>
  <c r="E786" i="1"/>
  <c r="D786" i="1"/>
  <c r="E785" i="1"/>
  <c r="G785" i="1" s="1"/>
  <c r="H785" i="1" s="1"/>
  <c r="H784" i="1"/>
  <c r="H783" i="1"/>
  <c r="G782" i="1"/>
  <c r="E780" i="1"/>
  <c r="E779" i="1"/>
  <c r="H778" i="1"/>
  <c r="H777" i="1"/>
  <c r="F776" i="1"/>
  <c r="E774" i="1"/>
  <c r="E773" i="1"/>
  <c r="H772" i="1"/>
  <c r="H771" i="1"/>
  <c r="F770" i="1"/>
  <c r="F768" i="1"/>
  <c r="F767" i="1"/>
  <c r="F762" i="1"/>
  <c r="F765" i="1" s="1"/>
  <c r="F760" i="1"/>
  <c r="E760" i="1"/>
  <c r="G760" i="1" s="1"/>
  <c r="H760" i="1" s="1"/>
  <c r="F759" i="1"/>
  <c r="G759" i="1" s="1"/>
  <c r="H759" i="1" s="1"/>
  <c r="E759" i="1"/>
  <c r="G756" i="1"/>
  <c r="F754" i="1"/>
  <c r="E754" i="1"/>
  <c r="G754" i="1" s="1"/>
  <c r="H754" i="1" s="1"/>
  <c r="F753" i="1"/>
  <c r="E753" i="1"/>
  <c r="G753" i="1" s="1"/>
  <c r="H753" i="1" s="1"/>
  <c r="G750" i="1"/>
  <c r="F748" i="1"/>
  <c r="E748" i="1"/>
  <c r="G748" i="1" s="1"/>
  <c r="H748" i="1" s="1"/>
  <c r="H747" i="1"/>
  <c r="F747" i="1"/>
  <c r="F746" i="1"/>
  <c r="E746" i="1"/>
  <c r="E747" i="1" s="1"/>
  <c r="G747" i="1" s="1"/>
  <c r="G743" i="1"/>
  <c r="F741" i="1"/>
  <c r="E741" i="1"/>
  <c r="G741" i="1" s="1"/>
  <c r="H741" i="1" s="1"/>
  <c r="F740" i="1"/>
  <c r="E740" i="1"/>
  <c r="G740" i="1" s="1"/>
  <c r="H740" i="1" s="1"/>
  <c r="H739" i="1"/>
  <c r="F739" i="1"/>
  <c r="E739" i="1"/>
  <c r="G739" i="1" s="1"/>
  <c r="G736" i="1"/>
  <c r="F734" i="1"/>
  <c r="E734" i="1"/>
  <c r="G734" i="1" s="1"/>
  <c r="H734" i="1" s="1"/>
  <c r="H733" i="1"/>
  <c r="F733" i="1"/>
  <c r="E733" i="1"/>
  <c r="G733" i="1" s="1"/>
  <c r="F732" i="1"/>
  <c r="G732" i="1" s="1"/>
  <c r="H732" i="1" s="1"/>
  <c r="E732" i="1"/>
  <c r="G729" i="1"/>
  <c r="G723" i="1"/>
  <c r="F721" i="1"/>
  <c r="E721" i="1"/>
  <c r="D721" i="1"/>
  <c r="G721" i="1" s="1"/>
  <c r="H721" i="1" s="1"/>
  <c r="F720" i="1"/>
  <c r="G720" i="1" s="1"/>
  <c r="H720" i="1" s="1"/>
  <c r="E720" i="1"/>
  <c r="G717" i="1"/>
  <c r="F715" i="1"/>
  <c r="E715" i="1"/>
  <c r="G715" i="1" s="1"/>
  <c r="H715" i="1" s="1"/>
  <c r="G714" i="1"/>
  <c r="H714" i="1" s="1"/>
  <c r="F714" i="1"/>
  <c r="E714" i="1"/>
  <c r="F713" i="1"/>
  <c r="E713" i="1"/>
  <c r="G713" i="1" s="1"/>
  <c r="H713" i="1" s="1"/>
  <c r="F711" i="1"/>
  <c r="F712" i="1" s="1"/>
  <c r="E711" i="1"/>
  <c r="G711" i="1" s="1"/>
  <c r="H711" i="1" s="1"/>
  <c r="G708" i="1"/>
  <c r="F706" i="1"/>
  <c r="G706" i="1" s="1"/>
  <c r="H706" i="1" s="1"/>
  <c r="E706" i="1"/>
  <c r="F705" i="1"/>
  <c r="E705" i="1"/>
  <c r="G705" i="1" s="1"/>
  <c r="H705" i="1" s="1"/>
  <c r="G704" i="1"/>
  <c r="H704" i="1" s="1"/>
  <c r="F704" i="1"/>
  <c r="E704" i="1"/>
  <c r="E703" i="1"/>
  <c r="F702" i="1"/>
  <c r="F703" i="1" s="1"/>
  <c r="E702" i="1"/>
  <c r="G699" i="1"/>
  <c r="F697" i="1"/>
  <c r="E697" i="1"/>
  <c r="G697" i="1" s="1"/>
  <c r="H697" i="1" s="1"/>
  <c r="F696" i="1"/>
  <c r="E696" i="1"/>
  <c r="G696" i="1" s="1"/>
  <c r="H696" i="1" s="1"/>
  <c r="F695" i="1"/>
  <c r="E695" i="1"/>
  <c r="G695" i="1" s="1"/>
  <c r="H695" i="1" s="1"/>
  <c r="F694" i="1"/>
  <c r="E694" i="1"/>
  <c r="G694" i="1" s="1"/>
  <c r="H694" i="1" s="1"/>
  <c r="F693" i="1"/>
  <c r="E693" i="1"/>
  <c r="G693" i="1" s="1"/>
  <c r="H693" i="1" s="1"/>
  <c r="F692" i="1"/>
  <c r="E692" i="1"/>
  <c r="G692" i="1" s="1"/>
  <c r="H692" i="1" s="1"/>
  <c r="F691" i="1"/>
  <c r="G691" i="1" s="1"/>
  <c r="H691" i="1" s="1"/>
  <c r="G688" i="1"/>
  <c r="E686" i="1"/>
  <c r="F685" i="1"/>
  <c r="G685" i="1" s="1"/>
  <c r="H685" i="1" s="1"/>
  <c r="E685" i="1"/>
  <c r="E684" i="1"/>
  <c r="E683" i="1"/>
  <c r="E682" i="1"/>
  <c r="G681" i="1"/>
  <c r="H681" i="1" s="1"/>
  <c r="F681" i="1"/>
  <c r="E681" i="1"/>
  <c r="G678" i="1"/>
  <c r="F676" i="1"/>
  <c r="E676" i="1"/>
  <c r="G676" i="1" s="1"/>
  <c r="H676" i="1" s="1"/>
  <c r="F675" i="1"/>
  <c r="E675" i="1"/>
  <c r="G675" i="1" s="1"/>
  <c r="H675" i="1" s="1"/>
  <c r="G672" i="1"/>
  <c r="E669" i="1"/>
  <c r="G669" i="1" s="1"/>
  <c r="F667" i="1"/>
  <c r="E667" i="1"/>
  <c r="G667" i="1" s="1"/>
  <c r="H667" i="1" s="1"/>
  <c r="F666" i="1"/>
  <c r="E666" i="1"/>
  <c r="G666" i="1" s="1"/>
  <c r="H666" i="1" s="1"/>
  <c r="G663" i="1"/>
  <c r="G661" i="1"/>
  <c r="H661" i="1" s="1"/>
  <c r="H660" i="1"/>
  <c r="F658" i="1"/>
  <c r="G660" i="1" s="1"/>
  <c r="E658" i="1"/>
  <c r="G656" i="1"/>
  <c r="F651" i="1"/>
  <c r="E651" i="1"/>
  <c r="G649" i="1"/>
  <c r="G647" i="1"/>
  <c r="H647" i="1" s="1"/>
  <c r="G646" i="1"/>
  <c r="H646" i="1" s="1"/>
  <c r="G645" i="1"/>
  <c r="H645" i="1" s="1"/>
  <c r="H644" i="1"/>
  <c r="F644" i="1"/>
  <c r="E644" i="1"/>
  <c r="G644" i="1" s="1"/>
  <c r="G642" i="1"/>
  <c r="G640" i="1"/>
  <c r="H640" i="1" s="1"/>
  <c r="F640" i="1"/>
  <c r="E640" i="1"/>
  <c r="E639" i="1"/>
  <c r="G639" i="1" s="1"/>
  <c r="H639" i="1" s="1"/>
  <c r="G636" i="1"/>
  <c r="G634" i="1"/>
  <c r="H634" i="1" s="1"/>
  <c r="F634" i="1"/>
  <c r="E634" i="1"/>
  <c r="E633" i="1"/>
  <c r="G633" i="1" s="1"/>
  <c r="H633" i="1" s="1"/>
  <c r="G630" i="1"/>
  <c r="E628" i="1"/>
  <c r="F627" i="1"/>
  <c r="F628" i="1" s="1"/>
  <c r="E627" i="1"/>
  <c r="G627" i="1" s="1"/>
  <c r="H627" i="1" s="1"/>
  <c r="G624" i="1"/>
  <c r="F622" i="1"/>
  <c r="E622" i="1"/>
  <c r="G622" i="1" s="1"/>
  <c r="H622" i="1" s="1"/>
  <c r="G621" i="1"/>
  <c r="H621" i="1" s="1"/>
  <c r="F621" i="1"/>
  <c r="E621" i="1"/>
  <c r="G618" i="1"/>
  <c r="F616" i="1"/>
  <c r="E616" i="1"/>
  <c r="G616" i="1" s="1"/>
  <c r="H616" i="1" s="1"/>
  <c r="F615" i="1"/>
  <c r="G615" i="1" s="1"/>
  <c r="H615" i="1" s="1"/>
  <c r="E615" i="1"/>
  <c r="G612" i="1"/>
  <c r="G610" i="1"/>
  <c r="H610" i="1" s="1"/>
  <c r="F610" i="1"/>
  <c r="E610" i="1"/>
  <c r="F609" i="1"/>
  <c r="E609" i="1"/>
  <c r="G606" i="1"/>
  <c r="F604" i="1"/>
  <c r="E604" i="1"/>
  <c r="G604" i="1" s="1"/>
  <c r="H604" i="1" s="1"/>
  <c r="F603" i="1"/>
  <c r="E603" i="1"/>
  <c r="G603" i="1" s="1"/>
  <c r="H603" i="1" s="1"/>
  <c r="G600" i="1"/>
  <c r="F598" i="1"/>
  <c r="E598" i="1"/>
  <c r="G598" i="1" s="1"/>
  <c r="H598" i="1" s="1"/>
  <c r="F597" i="1"/>
  <c r="E597" i="1"/>
  <c r="G597" i="1" s="1"/>
  <c r="H597" i="1" s="1"/>
  <c r="G594" i="1"/>
  <c r="F592" i="1"/>
  <c r="E592" i="1"/>
  <c r="G592" i="1" s="1"/>
  <c r="H592" i="1" s="1"/>
  <c r="F591" i="1"/>
  <c r="E591" i="1"/>
  <c r="G591" i="1" s="1"/>
  <c r="H591" i="1" s="1"/>
  <c r="G588" i="1"/>
  <c r="G586" i="1"/>
  <c r="H586" i="1" s="1"/>
  <c r="F586" i="1"/>
  <c r="E586" i="1"/>
  <c r="F585" i="1"/>
  <c r="E585" i="1"/>
  <c r="G585" i="1" s="1"/>
  <c r="H585" i="1" s="1"/>
  <c r="G582" i="1"/>
  <c r="F580" i="1"/>
  <c r="E580" i="1"/>
  <c r="G580" i="1" s="1"/>
  <c r="H580" i="1" s="1"/>
  <c r="F579" i="1"/>
  <c r="E579" i="1"/>
  <c r="G579" i="1" s="1"/>
  <c r="H579" i="1" s="1"/>
  <c r="G576" i="1"/>
  <c r="F574" i="1"/>
  <c r="E574" i="1"/>
  <c r="G574" i="1" s="1"/>
  <c r="H574" i="1" s="1"/>
  <c r="H573" i="1"/>
  <c r="G573" i="1"/>
  <c r="E573" i="1"/>
  <c r="G570" i="1"/>
  <c r="F570" i="1"/>
  <c r="F573" i="1" s="1"/>
  <c r="E568" i="1"/>
  <c r="E567" i="1"/>
  <c r="F564" i="1"/>
  <c r="F568" i="1" s="1"/>
  <c r="F562" i="1"/>
  <c r="E562" i="1"/>
  <c r="G562" i="1" s="1"/>
  <c r="H562" i="1" s="1"/>
  <c r="F561" i="1"/>
  <c r="G561" i="1" s="1"/>
  <c r="H561" i="1" s="1"/>
  <c r="E561" i="1"/>
  <c r="F558" i="1"/>
  <c r="G558" i="1" s="1"/>
  <c r="F556" i="1"/>
  <c r="E556" i="1"/>
  <c r="G556" i="1" s="1"/>
  <c r="H556" i="1" s="1"/>
  <c r="F555" i="1"/>
  <c r="E555" i="1"/>
  <c r="G555" i="1" s="1"/>
  <c r="H555" i="1" s="1"/>
  <c r="G552" i="1"/>
  <c r="F550" i="1"/>
  <c r="E550" i="1"/>
  <c r="G550" i="1" s="1"/>
  <c r="H550" i="1" s="1"/>
  <c r="F549" i="1"/>
  <c r="G549" i="1" s="1"/>
  <c r="H549" i="1" s="1"/>
  <c r="E549" i="1"/>
  <c r="G548" i="1"/>
  <c r="H548" i="1" s="1"/>
  <c r="F548" i="1"/>
  <c r="E548" i="1"/>
  <c r="G545" i="1"/>
  <c r="F543" i="1"/>
  <c r="E543" i="1"/>
  <c r="G543" i="1" s="1"/>
  <c r="H543" i="1" s="1"/>
  <c r="F542" i="1"/>
  <c r="G542" i="1" s="1"/>
  <c r="H542" i="1" s="1"/>
  <c r="E542" i="1"/>
  <c r="F541" i="1"/>
  <c r="E541" i="1"/>
  <c r="G541" i="1" s="1"/>
  <c r="H541" i="1" s="1"/>
  <c r="G538" i="1"/>
  <c r="G536" i="1"/>
  <c r="H536" i="1" s="1"/>
  <c r="F536" i="1"/>
  <c r="E536" i="1"/>
  <c r="F535" i="1"/>
  <c r="E535" i="1"/>
  <c r="G535" i="1" s="1"/>
  <c r="H535" i="1" s="1"/>
  <c r="G534" i="1"/>
  <c r="H534" i="1" s="1"/>
  <c r="F534" i="1"/>
  <c r="E534" i="1"/>
  <c r="G531" i="1"/>
  <c r="F529" i="1"/>
  <c r="E529" i="1"/>
  <c r="G529" i="1" s="1"/>
  <c r="H529" i="1" s="1"/>
  <c r="G528" i="1"/>
  <c r="H528" i="1" s="1"/>
  <c r="F528" i="1"/>
  <c r="E528" i="1"/>
  <c r="G525" i="1"/>
  <c r="F523" i="1"/>
  <c r="G523" i="1" s="1"/>
  <c r="H523" i="1" s="1"/>
  <c r="E523" i="1"/>
  <c r="G522" i="1"/>
  <c r="H522" i="1" s="1"/>
  <c r="F522" i="1"/>
  <c r="E522" i="1"/>
  <c r="G519" i="1"/>
  <c r="F517" i="1"/>
  <c r="E517" i="1"/>
  <c r="G517" i="1" s="1"/>
  <c r="H517" i="1" s="1"/>
  <c r="E516" i="1"/>
  <c r="G516" i="1" s="1"/>
  <c r="H516" i="1" s="1"/>
  <c r="G513" i="1"/>
  <c r="F511" i="1"/>
  <c r="E511" i="1"/>
  <c r="G511" i="1" s="1"/>
  <c r="H511" i="1" s="1"/>
  <c r="F510" i="1"/>
  <c r="E510" i="1"/>
  <c r="G510" i="1" s="1"/>
  <c r="H510" i="1" s="1"/>
  <c r="F509" i="1"/>
  <c r="G509" i="1" s="1"/>
  <c r="H509" i="1" s="1"/>
  <c r="E509" i="1"/>
  <c r="G508" i="1"/>
  <c r="H508" i="1" s="1"/>
  <c r="F508" i="1"/>
  <c r="E508" i="1"/>
  <c r="H507" i="1"/>
  <c r="F507" i="1"/>
  <c r="G507" i="1" s="1"/>
  <c r="E507" i="1"/>
  <c r="F506" i="1"/>
  <c r="E506" i="1"/>
  <c r="G506" i="1" s="1"/>
  <c r="H506" i="1" s="1"/>
  <c r="G503" i="1"/>
  <c r="G501" i="1"/>
  <c r="H501" i="1" s="1"/>
  <c r="F501" i="1"/>
  <c r="E501" i="1"/>
  <c r="G500" i="1"/>
  <c r="H500" i="1" s="1"/>
  <c r="F500" i="1"/>
  <c r="E500" i="1"/>
  <c r="G497" i="1"/>
  <c r="F495" i="1"/>
  <c r="E495" i="1"/>
  <c r="G495" i="1" s="1"/>
  <c r="H495" i="1" s="1"/>
  <c r="F494" i="1"/>
  <c r="E494" i="1"/>
  <c r="G494" i="1" s="1"/>
  <c r="H494" i="1" s="1"/>
  <c r="G491" i="1"/>
  <c r="F489" i="1"/>
  <c r="G489" i="1" s="1"/>
  <c r="H489" i="1" s="1"/>
  <c r="E489" i="1"/>
  <c r="G488" i="1"/>
  <c r="H488" i="1" s="1"/>
  <c r="F488" i="1"/>
  <c r="E488" i="1"/>
  <c r="G485" i="1"/>
  <c r="F483" i="1"/>
  <c r="E483" i="1"/>
  <c r="G483" i="1" s="1"/>
  <c r="H483" i="1" s="1"/>
  <c r="F482" i="1"/>
  <c r="E482" i="1"/>
  <c r="G482" i="1" s="1"/>
  <c r="H482" i="1" s="1"/>
  <c r="G479" i="1"/>
  <c r="G477" i="1"/>
  <c r="H477" i="1" s="1"/>
  <c r="F477" i="1"/>
  <c r="E477" i="1"/>
  <c r="G476" i="1"/>
  <c r="H476" i="1" s="1"/>
  <c r="F476" i="1"/>
  <c r="E476" i="1"/>
  <c r="G473" i="1"/>
  <c r="F471" i="1"/>
  <c r="E471" i="1"/>
  <c r="G471" i="1" s="1"/>
  <c r="H471" i="1" s="1"/>
  <c r="F470" i="1"/>
  <c r="E470" i="1"/>
  <c r="G470" i="1" s="1"/>
  <c r="H470" i="1" s="1"/>
  <c r="G467" i="1"/>
  <c r="F465" i="1"/>
  <c r="E465" i="1"/>
  <c r="G465" i="1" s="1"/>
  <c r="H465" i="1" s="1"/>
  <c r="F464" i="1"/>
  <c r="E464" i="1"/>
  <c r="G464" i="1" s="1"/>
  <c r="H464" i="1" s="1"/>
  <c r="G461" i="1"/>
  <c r="H459" i="1"/>
  <c r="F459" i="1"/>
  <c r="E459" i="1"/>
  <c r="G459" i="1" s="1"/>
  <c r="D459" i="1"/>
  <c r="F458" i="1"/>
  <c r="E458" i="1"/>
  <c r="G458" i="1" s="1"/>
  <c r="H458" i="1" s="1"/>
  <c r="G455" i="1"/>
  <c r="H453" i="1"/>
  <c r="F453" i="1"/>
  <c r="E453" i="1"/>
  <c r="G453" i="1" s="1"/>
  <c r="F452" i="1"/>
  <c r="E452" i="1"/>
  <c r="G452" i="1" s="1"/>
  <c r="H452" i="1" s="1"/>
  <c r="G449" i="1"/>
  <c r="F447" i="1"/>
  <c r="E447" i="1"/>
  <c r="G447" i="1" s="1"/>
  <c r="H447" i="1" s="1"/>
  <c r="F446" i="1"/>
  <c r="E446" i="1"/>
  <c r="G446" i="1" s="1"/>
  <c r="H446" i="1" s="1"/>
  <c r="E445" i="1"/>
  <c r="F442" i="1"/>
  <c r="F445" i="1" s="1"/>
  <c r="G445" i="1" s="1"/>
  <c r="H445" i="1" s="1"/>
  <c r="F440" i="1"/>
  <c r="E440" i="1"/>
  <c r="G440" i="1" s="1"/>
  <c r="H440" i="1" s="1"/>
  <c r="F439" i="1"/>
  <c r="E439" i="1"/>
  <c r="G439" i="1" s="1"/>
  <c r="H439" i="1" s="1"/>
  <c r="G436" i="1"/>
  <c r="F434" i="1"/>
  <c r="E434" i="1"/>
  <c r="G434" i="1" s="1"/>
  <c r="H434" i="1" s="1"/>
  <c r="G433" i="1"/>
  <c r="H433" i="1" s="1"/>
  <c r="F433" i="1"/>
  <c r="E433" i="1"/>
  <c r="G430" i="1"/>
  <c r="F428" i="1"/>
  <c r="E428" i="1"/>
  <c r="D428" i="1"/>
  <c r="G428" i="1" s="1"/>
  <c r="H428" i="1" s="1"/>
  <c r="G427" i="1"/>
  <c r="H427" i="1" s="1"/>
  <c r="F427" i="1"/>
  <c r="E427" i="1"/>
  <c r="G424" i="1"/>
  <c r="F422" i="1"/>
  <c r="E422" i="1"/>
  <c r="G422" i="1" s="1"/>
  <c r="H422" i="1" s="1"/>
  <c r="G421" i="1"/>
  <c r="H421" i="1" s="1"/>
  <c r="F421" i="1"/>
  <c r="E421" i="1"/>
  <c r="G418" i="1"/>
  <c r="F415" i="1"/>
  <c r="G415" i="1" s="1"/>
  <c r="H415" i="1" s="1"/>
  <c r="E415" i="1"/>
  <c r="H414" i="1"/>
  <c r="G414" i="1"/>
  <c r="F414" i="1"/>
  <c r="E414" i="1"/>
  <c r="G411" i="1"/>
  <c r="F409" i="1"/>
  <c r="E409" i="1"/>
  <c r="G409" i="1" s="1"/>
  <c r="H409" i="1" s="1"/>
  <c r="F408" i="1"/>
  <c r="E408" i="1"/>
  <c r="G408" i="1" s="1"/>
  <c r="H408" i="1" s="1"/>
  <c r="G405" i="1"/>
  <c r="F403" i="1"/>
  <c r="G403" i="1" s="1"/>
  <c r="H403" i="1" s="1"/>
  <c r="E403" i="1"/>
  <c r="F402" i="1"/>
  <c r="E402" i="1"/>
  <c r="G402" i="1" s="1"/>
  <c r="H402" i="1" s="1"/>
  <c r="G399" i="1"/>
  <c r="F397" i="1"/>
  <c r="E397" i="1"/>
  <c r="G397" i="1" s="1"/>
  <c r="H397" i="1" s="1"/>
  <c r="F396" i="1"/>
  <c r="G396" i="1" s="1"/>
  <c r="H396" i="1" s="1"/>
  <c r="E396" i="1"/>
  <c r="G393" i="1"/>
  <c r="G391" i="1"/>
  <c r="H391" i="1" s="1"/>
  <c r="F391" i="1"/>
  <c r="E391" i="1"/>
  <c r="F390" i="1"/>
  <c r="E390" i="1"/>
  <c r="G390" i="1" s="1"/>
  <c r="H390" i="1" s="1"/>
  <c r="G387" i="1"/>
  <c r="F385" i="1"/>
  <c r="E385" i="1"/>
  <c r="G385" i="1" s="1"/>
  <c r="H385" i="1" s="1"/>
  <c r="F384" i="1"/>
  <c r="E384" i="1"/>
  <c r="G384" i="1" s="1"/>
  <c r="H384" i="1" s="1"/>
  <c r="G381" i="1"/>
  <c r="G377" i="1"/>
  <c r="H377" i="1" s="1"/>
  <c r="F376" i="1"/>
  <c r="E376" i="1"/>
  <c r="G376" i="1" s="1"/>
  <c r="H376" i="1" s="1"/>
  <c r="G374" i="1"/>
  <c r="H370" i="1"/>
  <c r="G370" i="1"/>
  <c r="G369" i="1"/>
  <c r="H369" i="1" s="1"/>
  <c r="G367" i="1"/>
  <c r="H367" i="1" s="1"/>
  <c r="F366" i="1"/>
  <c r="E366" i="1"/>
  <c r="G364" i="1"/>
  <c r="F350" i="1"/>
  <c r="F352" i="1" s="1"/>
  <c r="F345" i="1"/>
  <c r="F346" i="1" s="1"/>
  <c r="E345" i="1"/>
  <c r="F343" i="1"/>
  <c r="G343" i="1" s="1"/>
  <c r="F338" i="1"/>
  <c r="F340" i="1" s="1"/>
  <c r="E338" i="1"/>
  <c r="E340" i="1" s="1"/>
  <c r="G341" i="1" s="1"/>
  <c r="H341" i="1" s="1"/>
  <c r="F336" i="1"/>
  <c r="E336" i="1"/>
  <c r="G336" i="1" s="1"/>
  <c r="H336" i="1" s="1"/>
  <c r="E335" i="1"/>
  <c r="E334" i="1"/>
  <c r="F332" i="1"/>
  <c r="F334" i="1" s="1"/>
  <c r="G334" i="1" s="1"/>
  <c r="H334" i="1" s="1"/>
  <c r="H330" i="1"/>
  <c r="G330" i="1"/>
  <c r="E330" i="1"/>
  <c r="F329" i="1"/>
  <c r="E329" i="1"/>
  <c r="G329" i="1" s="1"/>
  <c r="H329" i="1" s="1"/>
  <c r="E328" i="1"/>
  <c r="F326" i="1"/>
  <c r="F330" i="1" s="1"/>
  <c r="E324" i="1"/>
  <c r="F323" i="1"/>
  <c r="F324" i="1" s="1"/>
  <c r="E323" i="1"/>
  <c r="G323" i="1" s="1"/>
  <c r="H323" i="1" s="1"/>
  <c r="E322" i="1"/>
  <c r="F320" i="1"/>
  <c r="G320" i="1" s="1"/>
  <c r="F318" i="1"/>
  <c r="E318" i="1"/>
  <c r="G318" i="1" s="1"/>
  <c r="H318" i="1" s="1"/>
  <c r="F317" i="1"/>
  <c r="F316" i="1"/>
  <c r="E316" i="1"/>
  <c r="F315" i="1"/>
  <c r="E315" i="1"/>
  <c r="G315" i="1" s="1"/>
  <c r="H315" i="1" s="1"/>
  <c r="G313" i="1"/>
  <c r="E311" i="1"/>
  <c r="E310" i="1"/>
  <c r="E309" i="1"/>
  <c r="F307" i="1"/>
  <c r="F305" i="1"/>
  <c r="G305" i="1" s="1"/>
  <c r="H305" i="1" s="1"/>
  <c r="E305" i="1"/>
  <c r="E304" i="1"/>
  <c r="E303" i="1"/>
  <c r="F301" i="1"/>
  <c r="F303" i="1" s="1"/>
  <c r="F298" i="1"/>
  <c r="E298" i="1"/>
  <c r="G299" i="1" s="1"/>
  <c r="H299" i="1" s="1"/>
  <c r="F296" i="1"/>
  <c r="G296" i="1" s="1"/>
  <c r="G294" i="1"/>
  <c r="H294" i="1" s="1"/>
  <c r="G293" i="1"/>
  <c r="H293" i="1" s="1"/>
  <c r="F293" i="1"/>
  <c r="E293" i="1"/>
  <c r="G291" i="1"/>
  <c r="F288" i="1"/>
  <c r="E288" i="1"/>
  <c r="G286" i="1"/>
  <c r="E283" i="1"/>
  <c r="F281" i="1"/>
  <c r="F283" i="1" s="1"/>
  <c r="G279" i="1"/>
  <c r="H279" i="1" s="1"/>
  <c r="F278" i="1"/>
  <c r="E278" i="1"/>
  <c r="G278" i="1" s="1"/>
  <c r="H278" i="1" s="1"/>
  <c r="G276" i="1"/>
  <c r="F276" i="1"/>
  <c r="E273" i="1"/>
  <c r="F271" i="1"/>
  <c r="F269" i="1"/>
  <c r="E269" i="1"/>
  <c r="G269" i="1" s="1"/>
  <c r="H269" i="1" s="1"/>
  <c r="G267" i="1"/>
  <c r="F265" i="1"/>
  <c r="G265" i="1" s="1"/>
  <c r="H265" i="1" s="1"/>
  <c r="E265" i="1"/>
  <c r="G263" i="1"/>
  <c r="F260" i="1"/>
  <c r="E260" i="1"/>
  <c r="G260" i="1" s="1"/>
  <c r="H260" i="1" s="1"/>
  <c r="G258" i="1"/>
  <c r="F256" i="1"/>
  <c r="F252" i="1"/>
  <c r="F245" i="1"/>
  <c r="F243" i="1"/>
  <c r="F236" i="1"/>
  <c r="F230" i="1"/>
  <c r="F223" i="1"/>
  <c r="F225" i="1" s="1"/>
  <c r="F218" i="1"/>
  <c r="F220" i="1" s="1"/>
  <c r="F213" i="1"/>
  <c r="F215" i="1" s="1"/>
  <c r="F210" i="1"/>
  <c r="F208" i="1"/>
  <c r="F205" i="1"/>
  <c r="E205" i="1"/>
  <c r="G206" i="1" s="1"/>
  <c r="H206" i="1" s="1"/>
  <c r="G203" i="1"/>
  <c r="F200" i="1"/>
  <c r="F195" i="1"/>
  <c r="F190" i="1"/>
  <c r="F189" i="1"/>
  <c r="F183" i="1"/>
  <c r="F177" i="1"/>
  <c r="F171" i="1"/>
  <c r="F165" i="1"/>
  <c r="F158" i="1"/>
  <c r="F157" i="1"/>
  <c r="F149" i="1"/>
  <c r="F148" i="1"/>
  <c r="F139" i="1"/>
  <c r="F140" i="1" s="1"/>
  <c r="F138" i="1"/>
  <c r="F129" i="1"/>
  <c r="F130" i="1" s="1"/>
  <c r="F128" i="1"/>
  <c r="H121" i="1"/>
  <c r="G121" i="1"/>
  <c r="G120" i="1"/>
  <c r="H120" i="1" s="1"/>
  <c r="F119" i="1"/>
  <c r="G119" i="1" s="1"/>
  <c r="H119" i="1" s="1"/>
  <c r="E118" i="1"/>
  <c r="G118" i="1" s="1"/>
  <c r="H118" i="1" s="1"/>
  <c r="G116" i="1"/>
  <c r="F114" i="1"/>
  <c r="G114" i="1" s="1"/>
  <c r="H114" i="1" s="1"/>
  <c r="F109" i="1"/>
  <c r="F101" i="1"/>
  <c r="F97" i="1"/>
  <c r="F93" i="1"/>
  <c r="F86" i="1"/>
  <c r="F80" i="1"/>
  <c r="F72" i="1"/>
  <c r="F74" i="1" s="1"/>
  <c r="F67" i="1"/>
  <c r="F70" i="1" s="1"/>
  <c r="E67" i="1"/>
  <c r="E72" i="1" s="1"/>
  <c r="E78" i="1" s="1"/>
  <c r="E65" i="1"/>
  <c r="G65" i="1" s="1"/>
  <c r="H65" i="1" s="1"/>
  <c r="F64" i="1"/>
  <c r="E64" i="1"/>
  <c r="G64" i="1" s="1"/>
  <c r="H64" i="1" s="1"/>
  <c r="F62" i="1"/>
  <c r="F65" i="1" s="1"/>
  <c r="E62" i="1"/>
  <c r="G62" i="1" s="1"/>
  <c r="F56" i="1"/>
  <c r="D46" i="1"/>
  <c r="D44" i="1"/>
  <c r="F40" i="1"/>
  <c r="G40" i="1" s="1"/>
  <c r="H40" i="1" s="1"/>
  <c r="E40" i="1"/>
  <c r="F41" i="1" s="1"/>
  <c r="F46" i="1" s="1"/>
  <c r="F36" i="1"/>
  <c r="E32" i="1"/>
  <c r="E36" i="1" s="1"/>
  <c r="E27" i="1"/>
  <c r="E22" i="1"/>
  <c r="F23" i="1" s="1"/>
  <c r="F27" i="1" s="1"/>
  <c r="G30" i="1" s="1"/>
  <c r="H30" i="1" s="1"/>
  <c r="G21" i="1"/>
  <c r="H21" i="1" s="1"/>
  <c r="G20" i="1"/>
  <c r="H20" i="1" s="1"/>
  <c r="H19" i="1"/>
  <c r="G19" i="1"/>
  <c r="G18" i="1"/>
  <c r="H18" i="1" s="1"/>
  <c r="F18" i="1"/>
  <c r="G15" i="1"/>
  <c r="E15" i="1"/>
  <c r="E18" i="1" s="1"/>
  <c r="E23" i="1" s="1"/>
  <c r="D14" i="1"/>
  <c r="E14" i="1" s="1"/>
  <c r="F11" i="1"/>
  <c r="E11" i="1"/>
  <c r="G9" i="1"/>
  <c r="E9" i="1"/>
  <c r="E6" i="1"/>
  <c r="F4" i="1"/>
  <c r="H364" i="1" l="1"/>
  <c r="H538" i="1"/>
  <c r="H313" i="1"/>
  <c r="H387" i="1"/>
  <c r="H990" i="1"/>
  <c r="H405" i="1"/>
  <c r="H688" i="1"/>
  <c r="H810" i="1"/>
  <c r="H116" i="1"/>
  <c r="H485" i="1"/>
  <c r="H594" i="1"/>
  <c r="H630" i="1"/>
  <c r="H296" i="1"/>
  <c r="H558" i="1"/>
  <c r="H62" i="1"/>
  <c r="H455" i="1"/>
  <c r="H473" i="1"/>
  <c r="H411" i="1"/>
  <c r="H545" i="1"/>
  <c r="H656" i="1"/>
  <c r="H374" i="1"/>
  <c r="H582" i="1"/>
  <c r="H636" i="1"/>
  <c r="H203" i="1"/>
  <c r="H618" i="1"/>
  <c r="H756" i="1"/>
  <c r="H286" i="1"/>
  <c r="H343" i="1"/>
  <c r="H430" i="1"/>
  <c r="H663" i="1"/>
  <c r="H782" i="1"/>
  <c r="H399" i="1"/>
  <c r="H267" i="1"/>
  <c r="H418" i="1"/>
  <c r="H588" i="1"/>
  <c r="H729" i="1"/>
  <c r="H743" i="1"/>
  <c r="H1000" i="1"/>
  <c r="H699" i="1"/>
  <c r="H467" i="1"/>
  <c r="H669" i="1"/>
  <c r="H799" i="1"/>
  <c r="H15" i="1"/>
  <c r="H436" i="1"/>
  <c r="H576" i="1"/>
  <c r="H612" i="1"/>
  <c r="H672" i="1"/>
  <c r="H276" i="1"/>
  <c r="H649" i="1"/>
  <c r="H788" i="1"/>
  <c r="H424" i="1"/>
  <c r="H513" i="1"/>
  <c r="H750" i="1"/>
  <c r="H503" i="1"/>
  <c r="H531" i="1"/>
  <c r="H736" i="1"/>
  <c r="H867" i="1"/>
  <c r="H717" i="1"/>
  <c r="H258" i="1"/>
  <c r="H393" i="1"/>
  <c r="H600" i="1"/>
  <c r="H678" i="1"/>
  <c r="H320" i="1"/>
  <c r="H491" i="1"/>
  <c r="H519" i="1"/>
  <c r="H805" i="1"/>
  <c r="H263" i="1"/>
  <c r="H794" i="1"/>
  <c r="H381" i="1"/>
  <c r="H461" i="1"/>
  <c r="H708" i="1"/>
  <c r="H9" i="1"/>
  <c r="H479" i="1"/>
  <c r="H570" i="1"/>
  <c r="H606" i="1"/>
  <c r="H642" i="1"/>
  <c r="H723" i="1"/>
  <c r="H845" i="1"/>
  <c r="H873" i="1"/>
  <c r="H291" i="1"/>
  <c r="H449" i="1"/>
  <c r="H525" i="1"/>
  <c r="H552" i="1"/>
  <c r="H624" i="1"/>
  <c r="G818" i="1"/>
  <c r="H818" i="1" s="1"/>
  <c r="F820" i="1"/>
  <c r="G820" i="1" s="1"/>
  <c r="H820" i="1" s="1"/>
  <c r="G821" i="1"/>
  <c r="H821" i="1" s="1"/>
  <c r="E91" i="1"/>
  <c r="E80" i="1"/>
  <c r="G78" i="1"/>
  <c r="H78" i="1" s="1"/>
  <c r="G324" i="1"/>
  <c r="H324" i="1" s="1"/>
  <c r="E317" i="1"/>
  <c r="G317" i="1" s="1"/>
  <c r="H317" i="1" s="1"/>
  <c r="G316" i="1"/>
  <c r="H316" i="1" s="1"/>
  <c r="G703" i="1"/>
  <c r="H703" i="1" s="1"/>
  <c r="E74" i="1"/>
  <c r="G72" i="1"/>
  <c r="H72" i="1" s="1"/>
  <c r="G75" i="1"/>
  <c r="H75" i="1" s="1"/>
  <c r="F273" i="1"/>
  <c r="G274" i="1" s="1"/>
  <c r="H274" i="1" s="1"/>
  <c r="G271" i="1"/>
  <c r="H271" i="1" s="1"/>
  <c r="E825" i="1"/>
  <c r="E829" i="1"/>
  <c r="G368" i="1"/>
  <c r="H368" i="1" s="1"/>
  <c r="G372" i="1"/>
  <c r="H372" i="1" s="1"/>
  <c r="G371" i="1"/>
  <c r="H371" i="1" s="1"/>
  <c r="F780" i="1"/>
  <c r="F779" i="1"/>
  <c r="G823" i="1"/>
  <c r="H823" i="1" s="1"/>
  <c r="G46" i="1"/>
  <c r="H46" i="1" s="1"/>
  <c r="G366" i="1"/>
  <c r="H366" i="1" s="1"/>
  <c r="F682" i="1"/>
  <c r="G682" i="1" s="1"/>
  <c r="H682" i="1" s="1"/>
  <c r="F684" i="1"/>
  <c r="F683" i="1"/>
  <c r="G683" i="1" s="1"/>
  <c r="H683" i="1" s="1"/>
  <c r="G776" i="1"/>
  <c r="H776" i="1" s="1"/>
  <c r="H998" i="1"/>
  <c r="F310" i="1"/>
  <c r="G310" i="1" s="1"/>
  <c r="H310" i="1" s="1"/>
  <c r="F311" i="1"/>
  <c r="G13" i="1"/>
  <c r="H13" i="1" s="1"/>
  <c r="G12" i="1"/>
  <c r="H12" i="1" s="1"/>
  <c r="G307" i="1"/>
  <c r="H307" i="1" s="1"/>
  <c r="E346" i="1"/>
  <c r="E350" i="1"/>
  <c r="G298" i="1"/>
  <c r="H298" i="1" s="1"/>
  <c r="F347" i="1"/>
  <c r="G770" i="1"/>
  <c r="H770" i="1" s="1"/>
  <c r="F774" i="1"/>
  <c r="G774" i="1" s="1"/>
  <c r="H774" i="1" s="1"/>
  <c r="F773" i="1"/>
  <c r="G773" i="1" s="1"/>
  <c r="H773" i="1" s="1"/>
  <c r="G11" i="1"/>
  <c r="H11" i="1" s="1"/>
  <c r="G684" i="1"/>
  <c r="H684" i="1" s="1"/>
  <c r="G780" i="1"/>
  <c r="H780" i="1" s="1"/>
  <c r="G284" i="1"/>
  <c r="H284" i="1" s="1"/>
  <c r="G283" i="1"/>
  <c r="H283" i="1" s="1"/>
  <c r="G281" i="1"/>
  <c r="H281" i="1" s="1"/>
  <c r="G659" i="1"/>
  <c r="H659" i="1" s="1"/>
  <c r="F686" i="1"/>
  <c r="G702" i="1"/>
  <c r="H702" i="1" s="1"/>
  <c r="E70" i="1"/>
  <c r="G70" i="1" s="1"/>
  <c r="H70" i="1" s="1"/>
  <c r="G69" i="1"/>
  <c r="H69" i="1" s="1"/>
  <c r="E712" i="1"/>
  <c r="G712" i="1" s="1"/>
  <c r="H712" i="1" s="1"/>
  <c r="F309" i="1"/>
  <c r="G309" i="1" s="1"/>
  <c r="H309" i="1" s="1"/>
  <c r="G564" i="1"/>
  <c r="H564" i="1" s="1"/>
  <c r="G779" i="1"/>
  <c r="H779" i="1" s="1"/>
  <c r="G67" i="1"/>
  <c r="H67" i="1" s="1"/>
  <c r="G345" i="1"/>
  <c r="H345" i="1" s="1"/>
  <c r="G37" i="1"/>
  <c r="H37" i="1" s="1"/>
  <c r="G38" i="1"/>
  <c r="H38" i="1" s="1"/>
  <c r="G36" i="1"/>
  <c r="H36" i="1" s="1"/>
  <c r="E41" i="1"/>
  <c r="E46" i="1" s="1"/>
  <c r="G567" i="1"/>
  <c r="H567" i="1" s="1"/>
  <c r="G653" i="1"/>
  <c r="H653" i="1" s="1"/>
  <c r="G652" i="1"/>
  <c r="H652" i="1" s="1"/>
  <c r="G651" i="1"/>
  <c r="H651" i="1" s="1"/>
  <c r="G654" i="1"/>
  <c r="H654" i="1" s="1"/>
  <c r="G32" i="1"/>
  <c r="H32" i="1" s="1"/>
  <c r="G332" i="1"/>
  <c r="H332" i="1" s="1"/>
  <c r="F567" i="1"/>
  <c r="G378" i="1"/>
  <c r="H378" i="1" s="1"/>
  <c r="G379" i="1"/>
  <c r="H379" i="1" s="1"/>
  <c r="F6" i="1"/>
  <c r="G7" i="1" s="1"/>
  <c r="H7" i="1" s="1"/>
  <c r="G4" i="1"/>
  <c r="H4" i="1" s="1"/>
  <c r="F335" i="1"/>
  <c r="G335" i="1" s="1"/>
  <c r="H335" i="1" s="1"/>
  <c r="G686" i="1"/>
  <c r="H686" i="1" s="1"/>
  <c r="G39" i="1"/>
  <c r="H39" i="1" s="1"/>
  <c r="G303" i="1"/>
  <c r="H303" i="1" s="1"/>
  <c r="G289" i="1"/>
  <c r="H289" i="1" s="1"/>
  <c r="G288" i="1"/>
  <c r="H288" i="1" s="1"/>
  <c r="G304" i="1"/>
  <c r="H304" i="1" s="1"/>
  <c r="G27" i="1"/>
  <c r="H27" i="1" s="1"/>
  <c r="G28" i="1"/>
  <c r="H28" i="1" s="1"/>
  <c r="G568" i="1"/>
  <c r="H568" i="1" s="1"/>
  <c r="F764" i="1"/>
  <c r="F322" i="1"/>
  <c r="G322" i="1" s="1"/>
  <c r="H322" i="1" s="1"/>
  <c r="G338" i="1"/>
  <c r="H338" i="1" s="1"/>
  <c r="G23" i="1"/>
  <c r="H23" i="1" s="1"/>
  <c r="G29" i="1"/>
  <c r="H29" i="1" s="1"/>
  <c r="G609" i="1"/>
  <c r="H609" i="1" s="1"/>
  <c r="F766" i="1"/>
  <c r="G847" i="1"/>
  <c r="H847" i="1" s="1"/>
  <c r="G301" i="1"/>
  <c r="H301" i="1" s="1"/>
  <c r="F304" i="1"/>
  <c r="G311" i="1"/>
  <c r="H311" i="1" s="1"/>
  <c r="G205" i="1"/>
  <c r="H205" i="1" s="1"/>
  <c r="G340" i="1"/>
  <c r="H340" i="1" s="1"/>
  <c r="G658" i="1"/>
  <c r="H658" i="1" s="1"/>
  <c r="G326" i="1"/>
  <c r="H326" i="1" s="1"/>
  <c r="G442" i="1"/>
  <c r="H442" i="1" s="1"/>
  <c r="G746" i="1"/>
  <c r="H746" i="1" s="1"/>
  <c r="F328" i="1"/>
  <c r="G328" i="1" s="1"/>
  <c r="H328" i="1" s="1"/>
  <c r="G628" i="1"/>
  <c r="H628" i="1" s="1"/>
  <c r="G6" i="1" l="1"/>
  <c r="H6" i="1" s="1"/>
  <c r="G47" i="1"/>
  <c r="H47" i="1" s="1"/>
  <c r="G48" i="1"/>
  <c r="H48" i="1" s="1"/>
  <c r="E51" i="1"/>
  <c r="G49" i="1"/>
  <c r="H49" i="1" s="1"/>
  <c r="G41" i="1"/>
  <c r="H41" i="1" s="1"/>
  <c r="G829" i="1"/>
  <c r="H829" i="1" s="1"/>
  <c r="E831" i="1"/>
  <c r="G831" i="1" s="1"/>
  <c r="H831" i="1" s="1"/>
  <c r="E833" i="1"/>
  <c r="G826" i="1"/>
  <c r="H826" i="1" s="1"/>
  <c r="G827" i="1"/>
  <c r="H827" i="1" s="1"/>
  <c r="G825" i="1"/>
  <c r="H825" i="1" s="1"/>
  <c r="G273" i="1"/>
  <c r="H273" i="1" s="1"/>
  <c r="G74" i="1"/>
  <c r="H74" i="1" s="1"/>
  <c r="G76" i="1"/>
  <c r="H76" i="1" s="1"/>
  <c r="E352" i="1"/>
  <c r="G350" i="1"/>
  <c r="H350" i="1" s="1"/>
  <c r="E762" i="1"/>
  <c r="E347" i="1"/>
  <c r="G347" i="1" s="1"/>
  <c r="H347" i="1" s="1"/>
  <c r="G346" i="1"/>
  <c r="H346" i="1" s="1"/>
  <c r="G81" i="1"/>
  <c r="H81" i="1" s="1"/>
  <c r="G80" i="1"/>
  <c r="H80" i="1" s="1"/>
  <c r="E84" i="1"/>
  <c r="G82" i="1"/>
  <c r="H82" i="1" s="1"/>
  <c r="G91" i="1"/>
  <c r="H91" i="1" s="1"/>
  <c r="E99" i="1"/>
  <c r="E93" i="1"/>
  <c r="E95" i="1"/>
  <c r="G353" i="1" l="1"/>
  <c r="H353" i="1" s="1"/>
  <c r="G352" i="1"/>
  <c r="H352" i="1" s="1"/>
  <c r="E124" i="1"/>
  <c r="G124" i="1" s="1"/>
  <c r="H124" i="1" s="1"/>
  <c r="G93" i="1"/>
  <c r="H93" i="1" s="1"/>
  <c r="G99" i="1"/>
  <c r="H99" i="1" s="1"/>
  <c r="E101" i="1"/>
  <c r="E163" i="1"/>
  <c r="E107" i="1"/>
  <c r="G95" i="1"/>
  <c r="H95" i="1" s="1"/>
  <c r="E126" i="1"/>
  <c r="E97" i="1"/>
  <c r="G97" i="1" s="1"/>
  <c r="H97" i="1" s="1"/>
  <c r="E86" i="1"/>
  <c r="G84" i="1"/>
  <c r="H84" i="1" s="1"/>
  <c r="E768" i="1"/>
  <c r="G768" i="1" s="1"/>
  <c r="H768" i="1" s="1"/>
  <c r="E764" i="1"/>
  <c r="G764" i="1" s="1"/>
  <c r="H764" i="1" s="1"/>
  <c r="E765" i="1"/>
  <c r="G765" i="1" s="1"/>
  <c r="H765" i="1" s="1"/>
  <c r="E766" i="1"/>
  <c r="G766" i="1" s="1"/>
  <c r="H766" i="1" s="1"/>
  <c r="G762" i="1"/>
  <c r="H762" i="1" s="1"/>
  <c r="E767" i="1"/>
  <c r="G767" i="1" s="1"/>
  <c r="H767" i="1" s="1"/>
  <c r="E835" i="1"/>
  <c r="E839" i="1"/>
  <c r="G833" i="1"/>
  <c r="H833" i="1" s="1"/>
  <c r="E56" i="1"/>
  <c r="G51" i="1"/>
  <c r="H51" i="1" s="1"/>
  <c r="G89" i="1" l="1"/>
  <c r="H89" i="1" s="1"/>
  <c r="G88" i="1"/>
  <c r="H88" i="1" s="1"/>
  <c r="G86" i="1"/>
  <c r="H86" i="1" s="1"/>
  <c r="G87" i="1"/>
  <c r="H87" i="1" s="1"/>
  <c r="E109" i="1"/>
  <c r="G110" i="1"/>
  <c r="H110" i="1" s="1"/>
  <c r="G107" i="1"/>
  <c r="H107" i="1" s="1"/>
  <c r="E169" i="1"/>
  <c r="G163" i="1"/>
  <c r="H163" i="1" s="1"/>
  <c r="E165" i="1"/>
  <c r="G101" i="1"/>
  <c r="H101" i="1" s="1"/>
  <c r="G103" i="1"/>
  <c r="H103" i="1" s="1"/>
  <c r="G102" i="1"/>
  <c r="H102" i="1" s="1"/>
  <c r="G105" i="1"/>
  <c r="H105" i="1" s="1"/>
  <c r="G104" i="1"/>
  <c r="H104" i="1" s="1"/>
  <c r="E134" i="1"/>
  <c r="G126" i="1"/>
  <c r="H126" i="1" s="1"/>
  <c r="E128" i="1"/>
  <c r="G57" i="1"/>
  <c r="H57" i="1" s="1"/>
  <c r="G59" i="1"/>
  <c r="H59" i="1" s="1"/>
  <c r="G58" i="1"/>
  <c r="H58" i="1" s="1"/>
  <c r="G56" i="1"/>
  <c r="H56" i="1" s="1"/>
  <c r="G839" i="1"/>
  <c r="H839" i="1" s="1"/>
  <c r="E849" i="1"/>
  <c r="E841" i="1"/>
  <c r="G835" i="1"/>
  <c r="H835" i="1" s="1"/>
  <c r="G837" i="1"/>
  <c r="H837" i="1" s="1"/>
  <c r="E861" i="1"/>
  <c r="G836" i="1"/>
  <c r="H836" i="1" s="1"/>
  <c r="G861" i="1" l="1"/>
  <c r="H861" i="1" s="1"/>
  <c r="E864" i="1"/>
  <c r="G864" i="1" s="1"/>
  <c r="H864" i="1" s="1"/>
  <c r="E865" i="1"/>
  <c r="G865" i="1" s="1"/>
  <c r="H865" i="1" s="1"/>
  <c r="G165" i="1"/>
  <c r="H165" i="1" s="1"/>
  <c r="G167" i="1"/>
  <c r="H167" i="1" s="1"/>
  <c r="G166" i="1"/>
  <c r="H166" i="1" s="1"/>
  <c r="G843" i="1"/>
  <c r="H843" i="1" s="1"/>
  <c r="G842" i="1"/>
  <c r="H842" i="1" s="1"/>
  <c r="G841" i="1"/>
  <c r="H841" i="1" s="1"/>
  <c r="G849" i="1"/>
  <c r="H849" i="1" s="1"/>
  <c r="E855" i="1"/>
  <c r="E851" i="1"/>
  <c r="E136" i="1"/>
  <c r="G134" i="1"/>
  <c r="H134" i="1" s="1"/>
  <c r="E175" i="1"/>
  <c r="E171" i="1"/>
  <c r="G169" i="1"/>
  <c r="H169" i="1" s="1"/>
  <c r="G111" i="1"/>
  <c r="H111" i="1" s="1"/>
  <c r="G109" i="1"/>
  <c r="H109" i="1" s="1"/>
  <c r="G113" i="1"/>
  <c r="H113" i="1" s="1"/>
  <c r="G112" i="1"/>
  <c r="H112" i="1" s="1"/>
  <c r="E129" i="1"/>
  <c r="G128" i="1"/>
  <c r="H128" i="1" s="1"/>
  <c r="E153" i="1"/>
  <c r="E177" i="1" l="1"/>
  <c r="G175" i="1"/>
  <c r="H175" i="1" s="1"/>
  <c r="E181" i="1"/>
  <c r="E138" i="1"/>
  <c r="G136" i="1"/>
  <c r="H136" i="1" s="1"/>
  <c r="E879" i="1"/>
  <c r="E857" i="1"/>
  <c r="E885" i="1"/>
  <c r="G855" i="1"/>
  <c r="H855" i="1" s="1"/>
  <c r="E155" i="1"/>
  <c r="G153" i="1"/>
  <c r="H153" i="1" s="1"/>
  <c r="G173" i="1"/>
  <c r="H173" i="1" s="1"/>
  <c r="G172" i="1"/>
  <c r="H172" i="1" s="1"/>
  <c r="G171" i="1"/>
  <c r="H171" i="1" s="1"/>
  <c r="G851" i="1"/>
  <c r="H851" i="1" s="1"/>
  <c r="G852" i="1"/>
  <c r="H852" i="1" s="1"/>
  <c r="G853" i="1"/>
  <c r="H853" i="1" s="1"/>
  <c r="G129" i="1"/>
  <c r="H129" i="1" s="1"/>
  <c r="E130" i="1"/>
  <c r="G130" i="1" s="1"/>
  <c r="H130" i="1" s="1"/>
  <c r="G155" i="1" l="1"/>
  <c r="H155" i="1" s="1"/>
  <c r="E157" i="1"/>
  <c r="E888" i="1"/>
  <c r="G888" i="1" s="1"/>
  <c r="H888" i="1" s="1"/>
  <c r="E891" i="1"/>
  <c r="E889" i="1"/>
  <c r="G889" i="1" s="1"/>
  <c r="H889" i="1" s="1"/>
  <c r="G885" i="1"/>
  <c r="H885" i="1" s="1"/>
  <c r="E139" i="1"/>
  <c r="G138" i="1"/>
  <c r="H138" i="1" s="1"/>
  <c r="G859" i="1"/>
  <c r="H859" i="1" s="1"/>
  <c r="G858" i="1"/>
  <c r="H858" i="1" s="1"/>
  <c r="G857" i="1"/>
  <c r="H857" i="1" s="1"/>
  <c r="E882" i="1"/>
  <c r="G882" i="1" s="1"/>
  <c r="H882" i="1" s="1"/>
  <c r="G879" i="1"/>
  <c r="H879" i="1" s="1"/>
  <c r="E883" i="1"/>
  <c r="G883" i="1" s="1"/>
  <c r="H883" i="1" s="1"/>
  <c r="E183" i="1"/>
  <c r="E187" i="1"/>
  <c r="G181" i="1"/>
  <c r="H181" i="1" s="1"/>
  <c r="G178" i="1"/>
  <c r="H178" i="1" s="1"/>
  <c r="G177" i="1"/>
  <c r="H177" i="1" s="1"/>
  <c r="G179" i="1"/>
  <c r="H179" i="1" s="1"/>
  <c r="E189" i="1" l="1"/>
  <c r="G189" i="1" s="1"/>
  <c r="H189" i="1" s="1"/>
  <c r="G187" i="1"/>
  <c r="H187" i="1" s="1"/>
  <c r="E190" i="1"/>
  <c r="E193" i="1"/>
  <c r="G183" i="1"/>
  <c r="H183" i="1" s="1"/>
  <c r="G185" i="1"/>
  <c r="H185" i="1" s="1"/>
  <c r="G184" i="1"/>
  <c r="H184" i="1" s="1"/>
  <c r="G139" i="1"/>
  <c r="H139" i="1" s="1"/>
  <c r="E140" i="1"/>
  <c r="E895" i="1"/>
  <c r="G895" i="1" s="1"/>
  <c r="H895" i="1" s="1"/>
  <c r="G891" i="1"/>
  <c r="H891" i="1" s="1"/>
  <c r="E894" i="1"/>
  <c r="G894" i="1" s="1"/>
  <c r="H894" i="1" s="1"/>
  <c r="E897" i="1"/>
  <c r="E158" i="1"/>
  <c r="G158" i="1" s="1"/>
  <c r="H158" i="1" s="1"/>
  <c r="G157" i="1"/>
  <c r="H157" i="1" s="1"/>
  <c r="E144" i="1" l="1"/>
  <c r="G140" i="1"/>
  <c r="H140" i="1" s="1"/>
  <c r="E901" i="1"/>
  <c r="G897" i="1"/>
  <c r="H897" i="1" s="1"/>
  <c r="E899" i="1"/>
  <c r="G899" i="1" s="1"/>
  <c r="H899" i="1" s="1"/>
  <c r="E198" i="1"/>
  <c r="E208" i="1"/>
  <c r="G193" i="1"/>
  <c r="H193" i="1" s="1"/>
  <c r="E195" i="1"/>
  <c r="G190" i="1"/>
  <c r="H190" i="1" s="1"/>
  <c r="G191" i="1"/>
  <c r="H191" i="1" s="1"/>
  <c r="G196" i="1" l="1"/>
  <c r="H196" i="1" s="1"/>
  <c r="G195" i="1"/>
  <c r="H195" i="1" s="1"/>
  <c r="G208" i="1"/>
  <c r="H208" i="1" s="1"/>
  <c r="E210" i="1"/>
  <c r="E213" i="1"/>
  <c r="E200" i="1"/>
  <c r="G198" i="1"/>
  <c r="H198" i="1" s="1"/>
  <c r="E905" i="1"/>
  <c r="E903" i="1"/>
  <c r="G901" i="1"/>
  <c r="H901" i="1" s="1"/>
  <c r="G144" i="1"/>
  <c r="H144" i="1" s="1"/>
  <c r="E146" i="1"/>
  <c r="E148" i="1" l="1"/>
  <c r="G146" i="1"/>
  <c r="H146" i="1" s="1"/>
  <c r="G903" i="1"/>
  <c r="H903" i="1" s="1"/>
  <c r="E907" i="1"/>
  <c r="G907" i="1" s="1"/>
  <c r="H907" i="1" s="1"/>
  <c r="G905" i="1"/>
  <c r="H905" i="1" s="1"/>
  <c r="E909" i="1"/>
  <c r="G201" i="1"/>
  <c r="H201" i="1" s="1"/>
  <c r="G200" i="1"/>
  <c r="H200" i="1" s="1"/>
  <c r="E218" i="1"/>
  <c r="E215" i="1"/>
  <c r="G213" i="1"/>
  <c r="H213" i="1" s="1"/>
  <c r="G211" i="1"/>
  <c r="H211" i="1" s="1"/>
  <c r="G210" i="1"/>
  <c r="H210" i="1" s="1"/>
  <c r="G911" i="1" l="1"/>
  <c r="H911" i="1" s="1"/>
  <c r="E913" i="1"/>
  <c r="E911" i="1"/>
  <c r="G909" i="1"/>
  <c r="H909" i="1" s="1"/>
  <c r="G216" i="1"/>
  <c r="H216" i="1" s="1"/>
  <c r="G215" i="1"/>
  <c r="H215" i="1" s="1"/>
  <c r="G218" i="1"/>
  <c r="H218" i="1" s="1"/>
  <c r="E220" i="1"/>
  <c r="E223" i="1"/>
  <c r="E149" i="1"/>
  <c r="G149" i="1" s="1"/>
  <c r="H149" i="1" s="1"/>
  <c r="G148" i="1"/>
  <c r="H148" i="1" s="1"/>
  <c r="G221" i="1" l="1"/>
  <c r="H221" i="1" s="1"/>
  <c r="G220" i="1"/>
  <c r="H220" i="1" s="1"/>
  <c r="E916" i="1"/>
  <c r="G916" i="1" s="1"/>
  <c r="H916" i="1" s="1"/>
  <c r="G913" i="1"/>
  <c r="H913" i="1" s="1"/>
  <c r="E919" i="1"/>
  <c r="E225" i="1"/>
  <c r="E228" i="1"/>
  <c r="G223" i="1"/>
  <c r="H223" i="1" s="1"/>
  <c r="E230" i="1" l="1"/>
  <c r="G228" i="1"/>
  <c r="H228" i="1" s="1"/>
  <c r="E234" i="1"/>
  <c r="G226" i="1"/>
  <c r="H226" i="1" s="1"/>
  <c r="G225" i="1"/>
  <c r="H225" i="1" s="1"/>
  <c r="G919" i="1"/>
  <c r="H919" i="1" s="1"/>
  <c r="E922" i="1"/>
  <c r="E925" i="1" l="1"/>
  <c r="G922" i="1"/>
  <c r="H922" i="1" s="1"/>
  <c r="E240" i="1"/>
  <c r="E236" i="1"/>
  <c r="G234" i="1"/>
  <c r="H234" i="1" s="1"/>
  <c r="G232" i="1"/>
  <c r="H232" i="1" s="1"/>
  <c r="G231" i="1"/>
  <c r="H231" i="1" s="1"/>
  <c r="G230" i="1"/>
  <c r="H230" i="1" s="1"/>
  <c r="E931" i="1" l="1"/>
  <c r="G931" i="1" s="1"/>
  <c r="H931" i="1" s="1"/>
  <c r="E934" i="1"/>
  <c r="E928" i="1"/>
  <c r="G928" i="1" s="1"/>
  <c r="H928" i="1" s="1"/>
  <c r="G925" i="1"/>
  <c r="H925" i="1" s="1"/>
  <c r="G238" i="1"/>
  <c r="H238" i="1" s="1"/>
  <c r="G236" i="1"/>
  <c r="H236" i="1" s="1"/>
  <c r="G237" i="1"/>
  <c r="H237" i="1" s="1"/>
  <c r="E243" i="1"/>
  <c r="E245" i="1"/>
  <c r="G245" i="1" s="1"/>
  <c r="H245" i="1" s="1"/>
  <c r="G240" i="1"/>
  <c r="H240" i="1" s="1"/>
  <c r="E937" i="1" l="1"/>
  <c r="G934" i="1"/>
  <c r="H934" i="1" s="1"/>
  <c r="E250" i="1"/>
  <c r="E247" i="1"/>
  <c r="G243" i="1"/>
  <c r="H243" i="1" s="1"/>
  <c r="G247" i="1" l="1"/>
  <c r="H247" i="1" s="1"/>
  <c r="E254" i="1"/>
  <c r="E252" i="1"/>
  <c r="G252" i="1" s="1"/>
  <c r="H252" i="1" s="1"/>
  <c r="G250" i="1"/>
  <c r="H250" i="1" s="1"/>
  <c r="G937" i="1"/>
  <c r="H937" i="1" s="1"/>
  <c r="E940" i="1"/>
  <c r="E943" i="1"/>
  <c r="G943" i="1" s="1"/>
  <c r="H943" i="1" s="1"/>
  <c r="E946" i="1" l="1"/>
  <c r="G940" i="1"/>
  <c r="H940" i="1" s="1"/>
  <c r="E256" i="1"/>
  <c r="G256" i="1" s="1"/>
  <c r="H256" i="1" s="1"/>
  <c r="G254" i="1"/>
  <c r="H254" i="1" s="1"/>
  <c r="G946" i="1" l="1"/>
  <c r="H946" i="1" s="1"/>
  <c r="E949" i="1"/>
  <c r="E952" i="1" l="1"/>
  <c r="G949" i="1"/>
  <c r="H949" i="1" s="1"/>
  <c r="G952" i="1" l="1"/>
  <c r="H952" i="1" s="1"/>
  <c r="E955" i="1"/>
  <c r="E958" i="1" l="1"/>
  <c r="G955" i="1"/>
  <c r="H955" i="1" s="1"/>
  <c r="G958" i="1" l="1"/>
  <c r="H958" i="1" s="1"/>
  <c r="E961" i="1"/>
  <c r="E964" i="1" l="1"/>
  <c r="G961" i="1"/>
  <c r="H961" i="1" s="1"/>
  <c r="G964" i="1" l="1"/>
  <c r="H964" i="1" s="1"/>
  <c r="E967" i="1"/>
  <c r="G967" i="1" l="1"/>
  <c r="H967" i="1" s="1"/>
  <c r="E970" i="1"/>
  <c r="G970" i="1" l="1"/>
  <c r="H970" i="1" s="1"/>
  <c r="E973" i="1"/>
  <c r="E976" i="1" l="1"/>
  <c r="G973" i="1"/>
  <c r="H973" i="1" s="1"/>
  <c r="E979" i="1" l="1"/>
  <c r="G976" i="1"/>
  <c r="H976" i="1" s="1"/>
  <c r="G979" i="1" l="1"/>
  <c r="H979" i="1" s="1"/>
  <c r="E982" i="1"/>
  <c r="G982" i="1" s="1"/>
  <c r="H9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" authorId="0" shapeId="0" xr:uid="{54073AB0-BE4D-4F8A-BC86-8E0D4785309C}">
      <text>
        <r>
          <rPr>
            <sz val="10"/>
            <color rgb="FF000000"/>
            <rFont val="Calibri"/>
            <family val="2"/>
            <scheme val="minor"/>
          </rPr>
          <t xml:space="preserve">Chadi Menhem:
ASSUMING THE DUMP TRUCK 16 M3 CAN DO 14 TRIPS PER DAY TO COMPLETE 13333 M3 PER DAY 
</t>
        </r>
      </text>
    </comment>
    <comment ref="F558" authorId="0" shapeId="0" xr:uid="{BD301541-3073-4F00-9664-6462B3D256BB}">
      <text>
        <r>
          <rPr>
            <sz val="10"/>
            <color rgb="FF000000"/>
            <rFont val="Calibri"/>
            <family val="2"/>
            <scheme val="minor"/>
          </rPr>
          <t>Elie Daou:
3 trips</t>
        </r>
      </text>
    </comment>
    <comment ref="F564" authorId="0" shapeId="0" xr:uid="{CA6A292B-0876-4E2C-8983-DE9F5DDE8DAE}">
      <text>
        <r>
          <rPr>
            <sz val="10"/>
            <color rgb="FF000000"/>
            <rFont val="Calibri"/>
            <family val="2"/>
            <scheme val="minor"/>
          </rPr>
          <t>Elie Daou:
3 trips</t>
        </r>
      </text>
    </comment>
    <comment ref="F570" authorId="0" shapeId="0" xr:uid="{A99E14C6-A19E-4D4D-8BE7-38C66FE08976}">
      <text>
        <r>
          <rPr>
            <sz val="10"/>
            <color rgb="FF000000"/>
            <rFont val="Calibri"/>
            <family val="2"/>
            <scheme val="minor"/>
          </rPr>
          <t>Elie Daou:
3 trips</t>
        </r>
      </text>
    </comment>
    <comment ref="C579" authorId="0" shapeId="0" xr:uid="{AC0B4786-D1B2-4C95-A566-D09B6FB67A1F}">
      <text>
        <r>
          <rPr>
            <sz val="10"/>
            <color rgb="FF000000"/>
            <rFont val="Calibri"/>
            <family val="2"/>
            <scheme val="minor"/>
          </rPr>
          <t>Shibunsha Kabeer:
 is this required ?</t>
        </r>
      </text>
    </comment>
    <comment ref="F723" authorId="0" shapeId="0" xr:uid="{3C0319FF-C6A5-4143-A78B-CAD525533A2F}">
      <text>
        <r>
          <rPr>
            <sz val="10"/>
            <color rgb="FF000000"/>
            <rFont val="Calibri"/>
            <family val="2"/>
            <scheme val="minor"/>
          </rPr>
          <t xml:space="preserve">.4*15*100
</t>
        </r>
      </text>
    </comment>
    <comment ref="F770" authorId="0" shapeId="0" xr:uid="{233A5753-7BBB-41F4-9AE1-F7CC7EDE354B}">
      <text>
        <r>
          <rPr>
            <sz val="10"/>
            <color rgb="FF000000"/>
            <rFont val="Calibri"/>
            <family val="2"/>
            <scheme val="minor"/>
          </rPr>
          <t xml:space="preserve">Elie Daou:
m2 x 0.3 avg width
</t>
        </r>
      </text>
    </comment>
    <comment ref="F776" authorId="0" shapeId="0" xr:uid="{0EC07FCD-32C1-4636-8BBF-3879D47191B5}">
      <text>
        <r>
          <rPr>
            <sz val="10"/>
            <color rgb="FF000000"/>
            <rFont val="Calibri"/>
            <family val="2"/>
            <scheme val="minor"/>
          </rPr>
          <t xml:space="preserve">Elie Daou:
m2 x 0.3 avg width
</t>
        </r>
      </text>
    </comment>
    <comment ref="F782" authorId="0" shapeId="0" xr:uid="{CCE6DF6E-DC0C-49D0-8D93-722B9BD81850}">
      <text>
        <r>
          <rPr>
            <sz val="10"/>
            <color rgb="FF000000"/>
            <rFont val="Calibri"/>
            <family val="2"/>
            <scheme val="minor"/>
          </rPr>
          <t xml:space="preserve">Elie Daou:
m2 x 0.3 avg width
</t>
        </r>
      </text>
    </comment>
    <comment ref="F788" authorId="0" shapeId="0" xr:uid="{B4AC9CED-B264-4382-97A6-C00D7F8F56A6}">
      <text>
        <r>
          <rPr>
            <sz val="10"/>
            <color rgb="FF000000"/>
            <rFont val="Calibri"/>
            <family val="2"/>
            <scheme val="minor"/>
          </rPr>
          <t xml:space="preserve">Elie Daou:
m2 x 0.3 avg width
</t>
        </r>
      </text>
    </comment>
    <comment ref="F829" authorId="0" shapeId="0" xr:uid="{0B75E26C-7D7F-481C-85EB-8C11A6C28E95}">
      <text>
        <r>
          <rPr>
            <sz val="10"/>
            <color rgb="FF000000"/>
            <rFont val="Calibri"/>
            <family val="2"/>
            <scheme val="minor"/>
          </rPr>
          <t>Shibunsha Kabeer:
25x.6x.6* 4times</t>
        </r>
      </text>
    </comment>
  </commentList>
</comments>
</file>

<file path=xl/sharedStrings.xml><?xml version="1.0" encoding="utf-8"?>
<sst xmlns="http://schemas.openxmlformats.org/spreadsheetml/2006/main" count="1182" uniqueCount="307">
  <si>
    <t>SOFT LANDSCAPING PRODUCTIVITY  ''DIRECT MANPOWER AND EQUIPMENTS''</t>
  </si>
  <si>
    <t>DESCRIPTION</t>
  </si>
  <si>
    <t>UNIT</t>
  </si>
  <si>
    <t>MANPOWER / EQUIPMENT
REQUIRED</t>
  </si>
  <si>
    <t>HOURS PER DAY</t>
  </si>
  <si>
    <t>DAILY PRODUCTIVITY</t>
  </si>
  <si>
    <t>MH / EH</t>
  </si>
  <si>
    <t>RATE</t>
  </si>
  <si>
    <r>
      <rPr>
        <sz val="12"/>
        <color theme="1"/>
        <rFont val="Calibri"/>
        <family val="2"/>
      </rPr>
      <t xml:space="preserve">DEEP EXCAVATION (sandy soil) </t>
    </r>
    <r>
      <rPr>
        <b/>
        <sz val="12"/>
        <color theme="1"/>
        <rFont val="Calibri"/>
        <family val="2"/>
      </rPr>
      <t xml:space="preserve"> UP TO 80 CM  disposal excluded</t>
    </r>
    <r>
      <rPr>
        <u/>
        <sz val="12"/>
        <color theme="1"/>
        <rFont val="Calibri"/>
        <family val="2"/>
      </rPr>
      <t xml:space="preserve"> </t>
    </r>
  </si>
  <si>
    <t>M3</t>
  </si>
  <si>
    <t>FLAGMAN</t>
  </si>
  <si>
    <t>UNSKILLED</t>
  </si>
  <si>
    <t>WATER TANKER</t>
  </si>
  <si>
    <t>WHEEL EXCAVATOR W/BUCKET</t>
  </si>
  <si>
    <r>
      <rPr>
        <sz val="12"/>
        <color theme="1"/>
        <rFont val="Calibri"/>
        <family val="2"/>
      </rPr>
      <t>DEEP EXCAVATION (rocky soil)</t>
    </r>
    <r>
      <rPr>
        <b/>
        <u/>
        <sz val="12"/>
        <color theme="1"/>
        <rFont val="Calibri"/>
        <family val="2"/>
      </rPr>
      <t xml:space="preserve"> shoring not included, for shoring we need to add the cost of the shoring box, crane, and manpower seperatly disposal excluded </t>
    </r>
  </si>
  <si>
    <t>WHEEL EXCAVATOR W/ BREAKER</t>
  </si>
  <si>
    <t>Backfilling with excavated material</t>
  </si>
  <si>
    <t xml:space="preserve">Forman </t>
  </si>
  <si>
    <t xml:space="preserve">WHEEL LOADER </t>
  </si>
  <si>
    <t>ROLLER COMPACTOR 25 TON</t>
  </si>
  <si>
    <t xml:space="preserve">16 m3 dump truck </t>
  </si>
  <si>
    <t>Stage 1 &amp; 2installation</t>
  </si>
  <si>
    <t>M2</t>
  </si>
  <si>
    <t xml:space="preserve">Supervior </t>
  </si>
  <si>
    <t xml:space="preserve">Manlift </t>
  </si>
  <si>
    <t>Mobile crane 10 ton</t>
  </si>
  <si>
    <t xml:space="preserve">Telehandler </t>
  </si>
  <si>
    <t xml:space="preserve">3 ton forklift </t>
  </si>
  <si>
    <t>Stage 2 installation</t>
  </si>
  <si>
    <t xml:space="preserve">Stage 3 and Stage 4 </t>
  </si>
  <si>
    <t>Leadman</t>
  </si>
  <si>
    <t>Manlift/Siccor Lift</t>
  </si>
  <si>
    <t>Boom truck 10 ton</t>
  </si>
  <si>
    <t xml:space="preserve">Siccor forklift </t>
  </si>
  <si>
    <t>Stage 4 Fixed installation</t>
  </si>
  <si>
    <r>
      <rPr>
        <sz val="12"/>
        <color theme="1"/>
        <rFont val="Calibri"/>
        <family val="2"/>
      </rPr>
      <t xml:space="preserve">MEDIUM EXCAVATION </t>
    </r>
    <r>
      <rPr>
        <b/>
        <u/>
        <sz val="12"/>
        <color theme="1"/>
        <rFont val="Calibri"/>
        <family val="2"/>
      </rPr>
      <t xml:space="preserve">disposal excluded </t>
    </r>
  </si>
  <si>
    <t>BACKHOE LOADER</t>
  </si>
  <si>
    <r>
      <rPr>
        <sz val="12"/>
        <color theme="1"/>
        <rFont val="Calibri"/>
        <family val="2"/>
      </rPr>
      <t xml:space="preserve">SHALLOW EXCAVATION </t>
    </r>
    <r>
      <rPr>
        <b/>
        <u/>
        <sz val="12"/>
        <color theme="1"/>
        <rFont val="Calibri"/>
        <family val="2"/>
      </rPr>
      <t>disposal excluded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</si>
  <si>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Calibri"/>
        <family val="2"/>
      </rPr>
      <t xml:space="preserve">DISPOSAL to near landfill </t>
    </r>
    <r>
      <rPr>
        <b/>
        <u/>
        <sz val="12"/>
        <color theme="1"/>
        <rFont val="Calibri"/>
        <family val="2"/>
      </rPr>
      <t xml:space="preserve">less than 30 km from the site </t>
    </r>
  </si>
  <si>
    <t>DUMP TRUCK
16 CU. YARD</t>
  </si>
  <si>
    <t>Wheel LOADER</t>
  </si>
  <si>
    <r>
      <rPr>
        <sz val="12"/>
        <color theme="1"/>
        <rFont val="Calibri"/>
        <family val="2"/>
      </rPr>
      <t>DRAINAGE GRAVEL TRANSPORTATION &amp; LAYING</t>
    </r>
    <r>
      <rPr>
        <b/>
        <sz val="12"/>
        <color theme="1"/>
        <rFont val="Calibri"/>
        <family val="2"/>
      </rPr>
      <t xml:space="preserve"> (per pit) </t>
    </r>
    <r>
      <rPr>
        <b/>
        <sz val="16"/>
        <color theme="1"/>
        <rFont val="Calibri"/>
        <family val="2"/>
      </rPr>
      <t xml:space="preserve">if the pits are within 10 meters range </t>
    </r>
  </si>
  <si>
    <t xml:space="preserve">TELEHANDLER as per site conditions </t>
  </si>
  <si>
    <t>SKID LOADER</t>
  </si>
  <si>
    <r>
      <rPr>
        <sz val="12"/>
        <color theme="1"/>
        <rFont val="Calibri"/>
        <family val="2"/>
      </rPr>
      <t>DRAINAGE GRAVEL TRANSPORTATION &amp; LAYING</t>
    </r>
    <r>
      <rPr>
        <b/>
        <sz val="12"/>
        <color theme="1"/>
        <rFont val="Calibri"/>
        <family val="2"/>
      </rPr>
      <t xml:space="preserve"> (open area)</t>
    </r>
  </si>
  <si>
    <t>FRONT LOADER</t>
  </si>
  <si>
    <r>
      <rPr>
        <sz val="12"/>
        <color theme="1"/>
        <rFont val="Calibri"/>
        <family val="2"/>
      </rPr>
      <t xml:space="preserve">GEO-MEMBRANE TRANSPORTATION &amp; LAYING </t>
    </r>
    <r>
      <rPr>
        <b/>
        <sz val="12"/>
        <color theme="1"/>
        <rFont val="Calibri"/>
        <family val="2"/>
      </rPr>
      <t xml:space="preserve"> (per pit) </t>
    </r>
    <r>
      <rPr>
        <b/>
        <sz val="12"/>
        <color rgb="FFFF0000"/>
        <rFont val="Calibri"/>
        <family val="2"/>
      </rPr>
      <t xml:space="preserve">normal size tree,laying of the geotextile on all sides </t>
    </r>
  </si>
  <si>
    <t>EA</t>
  </si>
  <si>
    <t>SKILLED</t>
  </si>
  <si>
    <t>DYNA</t>
  </si>
  <si>
    <r>
      <rPr>
        <sz val="12"/>
        <color theme="1"/>
        <rFont val="Calibri"/>
        <family val="2"/>
      </rPr>
      <t xml:space="preserve">GEO-MEMBRANE TRANSPORTATION &amp; LAYING </t>
    </r>
    <r>
      <rPr>
        <b/>
        <sz val="12"/>
        <color theme="1"/>
        <rFont val="Calibri"/>
        <family val="2"/>
      </rPr>
      <t xml:space="preserve"> (open area)</t>
    </r>
  </si>
  <si>
    <r>
      <rPr>
        <sz val="12"/>
        <color theme="1"/>
        <rFont val="Calibri"/>
        <family val="2"/>
      </rPr>
      <t xml:space="preserve">SOIL MIXING, </t>
    </r>
    <r>
      <rPr>
        <strike/>
        <sz val="12"/>
        <color theme="1"/>
        <rFont val="Calibri"/>
        <family val="2"/>
      </rPr>
      <t>TRANSPORTATION</t>
    </r>
    <r>
      <rPr>
        <sz val="12"/>
        <color theme="1"/>
        <rFont val="Calibri"/>
        <family val="2"/>
      </rPr>
      <t xml:space="preserve">, LAYING &amp; LEVELING </t>
    </r>
    <r>
      <rPr>
        <b/>
        <sz val="12"/>
        <color theme="1"/>
        <rFont val="Calibri"/>
        <family val="2"/>
      </rPr>
      <t>(per pit)</t>
    </r>
  </si>
  <si>
    <t>Wheel Loader</t>
  </si>
  <si>
    <t>Backlhoe loader</t>
  </si>
  <si>
    <t>DUMP TRUCK 16 CU. YARD</t>
  </si>
  <si>
    <t xml:space="preserve">skid loader as per site conditions </t>
  </si>
  <si>
    <r>
      <rPr>
        <sz val="12"/>
        <color theme="1"/>
        <rFont val="Calibri"/>
        <family val="2"/>
      </rPr>
      <t xml:space="preserve">SOIL MIXING, TRANSPORTATION, LAYING &amp; LEVELING </t>
    </r>
    <r>
      <rPr>
        <b/>
        <sz val="12"/>
        <color theme="1"/>
        <rFont val="Calibri"/>
        <family val="2"/>
      </rPr>
      <t>(open area)</t>
    </r>
    <r>
      <rPr>
        <b/>
        <u/>
        <sz val="12"/>
        <color theme="1"/>
        <rFont val="Calibri"/>
        <family val="2"/>
      </rPr>
      <t xml:space="preserve"> leveling included</t>
    </r>
    <r>
      <rPr>
        <b/>
        <sz val="12"/>
        <color theme="1"/>
        <rFont val="Calibri"/>
        <family val="2"/>
      </rPr>
      <t xml:space="preserve"> </t>
    </r>
  </si>
  <si>
    <t>FERTILIZER AND MANURE</t>
  </si>
  <si>
    <t>KG</t>
  </si>
  <si>
    <t>Flagman</t>
  </si>
  <si>
    <t>Dyna</t>
  </si>
  <si>
    <t>LOADER</t>
  </si>
  <si>
    <t>sKid Loader</t>
  </si>
  <si>
    <t>Water tanker</t>
  </si>
  <si>
    <r>
      <rPr>
        <sz val="12"/>
        <color theme="1"/>
        <rFont val="Calibri"/>
        <family val="2"/>
      </rPr>
      <t>REMOVAL &amp; RELOCATION OF PALMS</t>
    </r>
    <r>
      <rPr>
        <b/>
        <sz val="12"/>
        <color theme="1"/>
        <rFont val="Calibri"/>
        <family val="2"/>
      </rPr>
      <t xml:space="preserve"> up to 3 to 4  meters  total high inside the same site.</t>
    </r>
  </si>
  <si>
    <t>EA.</t>
  </si>
  <si>
    <t>UNSKILLED 1</t>
  </si>
  <si>
    <t>SKILLED 1</t>
  </si>
  <si>
    <t>UNSKILLED 2</t>
  </si>
  <si>
    <t>SKILLED 2</t>
  </si>
  <si>
    <t>BOOM TRUCK 1</t>
  </si>
  <si>
    <t>BOOM TRUCK 2</t>
  </si>
  <si>
    <t>WATER TANKER 2</t>
  </si>
  <si>
    <t xml:space="preserve">rigger </t>
  </si>
  <si>
    <t xml:space="preserve">skid loader as per site conditions for sand backfilling </t>
  </si>
  <si>
    <r>
      <rPr>
        <sz val="12"/>
        <color theme="1"/>
        <rFont val="Calibri"/>
        <family val="2"/>
      </rPr>
      <t>REMOVAL &amp; RELOCATION OF TREES</t>
    </r>
    <r>
      <rPr>
        <b/>
        <sz val="12"/>
        <color theme="1"/>
        <rFont val="Calibri"/>
        <family val="2"/>
      </rPr>
      <t xml:space="preserve"> up to 8 to 10 cm calpier </t>
    </r>
  </si>
  <si>
    <r>
      <rPr>
        <sz val="12"/>
        <color theme="1"/>
        <rFont val="Calibri"/>
        <family val="2"/>
      </rPr>
      <t xml:space="preserve">REMOVAL &amp; DISPOSAL OF PALMS </t>
    </r>
    <r>
      <rPr>
        <b/>
        <sz val="12"/>
        <color theme="1"/>
        <rFont val="Calibri"/>
        <family val="2"/>
      </rPr>
      <t xml:space="preserve">excluding dump truck </t>
    </r>
  </si>
  <si>
    <t xml:space="preserve">dump truck </t>
  </si>
  <si>
    <r>
      <rPr>
        <sz val="12"/>
        <color theme="1"/>
        <rFont val="Calibri"/>
        <family val="2"/>
      </rPr>
      <t xml:space="preserve">REMOVAL &amp; DISPOSAL OF TREES </t>
    </r>
    <r>
      <rPr>
        <b/>
        <sz val="12"/>
        <color theme="1"/>
        <rFont val="Calibri"/>
        <family val="2"/>
      </rPr>
      <t xml:space="preserve">excluding dump truck </t>
    </r>
  </si>
  <si>
    <t xml:space="preserve">BIG PALM PLANTATION </t>
  </si>
  <si>
    <t>SKILLED/RIGGER</t>
  </si>
  <si>
    <t xml:space="preserve">CRANE -100T or boom truck  </t>
  </si>
  <si>
    <r>
      <rPr>
        <sz val="12"/>
        <color theme="1"/>
        <rFont val="Calibri"/>
        <family val="2"/>
      </rPr>
      <t xml:space="preserve">MEDIUM PALM PLANTATION
 </t>
    </r>
    <r>
      <rPr>
        <b/>
        <sz val="12"/>
        <color theme="1"/>
        <rFont val="Calibri"/>
        <family val="2"/>
      </rPr>
      <t xml:space="preserve">grouped not individual locations excluding pit excavation and backfilling </t>
    </r>
  </si>
  <si>
    <r>
      <rPr>
        <sz val="12"/>
        <color theme="1"/>
        <rFont val="Calibri"/>
        <family val="2"/>
      </rPr>
      <t xml:space="preserve">SMALL PALM PLANTATION </t>
    </r>
    <r>
      <rPr>
        <b/>
        <sz val="12"/>
        <color theme="1"/>
        <rFont val="Calibri"/>
        <family val="2"/>
      </rPr>
      <t>excluding pit excavation and backfilling</t>
    </r>
  </si>
  <si>
    <t xml:space="preserve">CRANE 50T </t>
  </si>
  <si>
    <r>
      <rPr>
        <sz val="12"/>
        <color theme="1"/>
        <rFont val="Calibri"/>
        <family val="2"/>
      </rPr>
      <t xml:space="preserve">BIG TREE PLANTATION </t>
    </r>
    <r>
      <rPr>
        <b/>
        <sz val="12"/>
        <color theme="1"/>
        <rFont val="Calibri"/>
        <family val="2"/>
      </rPr>
      <t>excluding pit excavation and backfilling</t>
    </r>
    <r>
      <rPr>
        <sz val="12"/>
        <color theme="1"/>
        <rFont val="Calibri"/>
        <family val="2"/>
      </rPr>
      <t xml:space="preserve">
</t>
    </r>
  </si>
  <si>
    <r>
      <rPr>
        <sz val="12"/>
        <color theme="1"/>
        <rFont val="Calibri"/>
        <family val="2"/>
      </rPr>
      <t xml:space="preserve">MEDIUM 3M TREE PLANTATION </t>
    </r>
    <r>
      <rPr>
        <b/>
        <sz val="12"/>
        <color theme="1"/>
        <rFont val="Calibri"/>
        <family val="2"/>
      </rPr>
      <t>excluding pit excavation and backfilling</t>
    </r>
  </si>
  <si>
    <r>
      <rPr>
        <sz val="12"/>
        <color theme="1"/>
        <rFont val="Calibri"/>
        <family val="2"/>
      </rPr>
      <t xml:space="preserve">SMALL (1.5-2)TREE PLANTATION 
</t>
    </r>
    <r>
      <rPr>
        <b/>
        <sz val="12"/>
        <color theme="1"/>
        <rFont val="Calibri"/>
        <family val="2"/>
      </rPr>
      <t>excluding pit excavation and backfilling</t>
    </r>
  </si>
  <si>
    <r>
      <rPr>
        <sz val="12"/>
        <color theme="1"/>
        <rFont val="Calibri"/>
        <family val="2"/>
      </rPr>
      <t xml:space="preserve">X-SMALL (1-1.5) TREE PLANTATION 
</t>
    </r>
    <r>
      <rPr>
        <b/>
        <sz val="12"/>
        <color theme="1"/>
        <rFont val="Calibri"/>
        <family val="2"/>
      </rPr>
      <t>excluding pit excavation and backfilling</t>
    </r>
  </si>
  <si>
    <r>
      <rPr>
        <sz val="12"/>
        <color theme="1"/>
        <rFont val="Calibri"/>
        <family val="2"/>
      </rPr>
      <t xml:space="preserve">WHIP TREE(0.3-0.5) PLANTATION 
</t>
    </r>
    <r>
      <rPr>
        <b/>
        <sz val="12"/>
        <color theme="1"/>
        <rFont val="Calibri"/>
        <family val="2"/>
      </rPr>
      <t>excluding pit excavation and backfilling</t>
    </r>
  </si>
  <si>
    <r>
      <rPr>
        <sz val="12"/>
        <color theme="1"/>
        <rFont val="Calibri"/>
        <family val="2"/>
      </rPr>
      <t xml:space="preserve">BIG SHRUB PLANTATION
(1.0M TOTAL HEIGHT &amp; ABOVE) </t>
    </r>
    <r>
      <rPr>
        <b/>
        <sz val="12"/>
        <color theme="1"/>
        <rFont val="Calibri"/>
        <family val="2"/>
      </rPr>
      <t>excluding bed excavation and backfilling</t>
    </r>
  </si>
  <si>
    <r>
      <rPr>
        <sz val="12"/>
        <color theme="1"/>
        <rFont val="Calibri"/>
        <family val="2"/>
      </rPr>
      <t xml:space="preserve">MEDIUM SHRUB PLANTATION </t>
    </r>
    <r>
      <rPr>
        <b/>
        <sz val="12"/>
        <color theme="1"/>
        <rFont val="Calibri"/>
        <family val="2"/>
      </rPr>
      <t>excluding bed  excavation and backfilling</t>
    </r>
    <r>
      <rPr>
        <sz val="12"/>
        <color theme="1"/>
        <rFont val="Calibri"/>
        <family val="2"/>
      </rPr>
      <t xml:space="preserve">
(0.5 - 1.0M TOTAL HEIGHT )</t>
    </r>
  </si>
  <si>
    <r>
      <rPr>
        <sz val="12"/>
        <color theme="1"/>
        <rFont val="Calibri"/>
        <family val="2"/>
      </rPr>
      <t xml:space="preserve">SMALL SHRUB PLANTATION
(0.5M TOTAL HEIGHT &amp; BELOW) </t>
    </r>
    <r>
      <rPr>
        <b/>
        <sz val="12"/>
        <color theme="1"/>
        <rFont val="Calibri"/>
        <family val="2"/>
      </rPr>
      <t>excluding bed excavation and backfilling</t>
    </r>
  </si>
  <si>
    <r>
      <rPr>
        <sz val="12"/>
        <color theme="1"/>
        <rFont val="Calibri"/>
        <family val="2"/>
      </rPr>
      <t xml:space="preserve">GROUND COVER PLANTATION </t>
    </r>
    <r>
      <rPr>
        <b/>
        <sz val="12"/>
        <color theme="1"/>
        <rFont val="Calibri"/>
        <family val="2"/>
      </rPr>
      <t>excluding bed  excavation and backfilling</t>
    </r>
  </si>
  <si>
    <r>
      <rPr>
        <sz val="12"/>
        <color theme="1"/>
        <rFont val="Calibri"/>
        <family val="2"/>
      </rPr>
      <t xml:space="preserve">GRASS  STOLON
PLANTATION (with rollinng activity) </t>
    </r>
    <r>
      <rPr>
        <b/>
        <sz val="12"/>
        <color theme="1"/>
        <rFont val="Calibri"/>
        <family val="2"/>
      </rPr>
      <t>excluding bed  excavation and backfilling</t>
    </r>
  </si>
  <si>
    <t>SMALL ROLLER</t>
  </si>
  <si>
    <t xml:space="preserve">GRAVEL  MULCH TRANSPORTATION &amp; LAYING
</t>
  </si>
  <si>
    <t>Front Loader</t>
  </si>
  <si>
    <t>GUYING AND WIRING (+burlapping)</t>
  </si>
  <si>
    <t xml:space="preserve">WOODEN STAKES </t>
  </si>
  <si>
    <t>PLASTIC EDGING</t>
  </si>
  <si>
    <t>LM</t>
  </si>
  <si>
    <t>ROOT BARRIER</t>
  </si>
  <si>
    <t xml:space="preserve">URBANSCAPE GREEN ROLL </t>
  </si>
  <si>
    <t xml:space="preserve">ORGANIC PINE BARK NUGGETS </t>
  </si>
  <si>
    <t>URBANSCPAE DRAINAGE SYSTEM</t>
  </si>
  <si>
    <t>URBANSCPAE DRAINAGE SYSTEM (FOR TREE)</t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</si>
  <si>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>SMALL SHRUBS</t>
    </r>
    <r>
      <rPr>
        <sz val="12"/>
        <color theme="1"/>
        <rFont val="Calibri"/>
        <family val="2"/>
      </rPr>
      <t xml:space="preserve"> FROM NURSERY OUTSIDE THE ISLAND</t>
    </r>
  </si>
  <si>
    <t>FLAT BED</t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</si>
  <si>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>MEDIUM SHRUBS</t>
    </r>
    <r>
      <rPr>
        <sz val="12"/>
        <color theme="1"/>
        <rFont val="Calibri"/>
        <family val="2"/>
      </rPr>
      <t xml:space="preserve"> FROM NURSERY OUTSIDE THE ISLAND</t>
    </r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</si>
  <si>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 xml:space="preserve">LARGE SHRUBS </t>
    </r>
    <r>
      <rPr>
        <sz val="12"/>
        <color theme="1"/>
        <rFont val="Calibri"/>
        <family val="2"/>
      </rPr>
      <t>FROM NURSERY OUTSIDE THE ISLAND</t>
    </r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</si>
  <si>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>GROUND COVER</t>
    </r>
    <r>
      <rPr>
        <sz val="12"/>
        <color theme="1"/>
        <rFont val="Calibri"/>
        <family val="2"/>
      </rPr>
      <t xml:space="preserve"> FROM NURSERY OUTSIDE THE ISLAND</t>
    </r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</si>
  <si>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>GRASS</t>
    </r>
    <r>
      <rPr>
        <sz val="12"/>
        <color theme="1"/>
        <rFont val="Calibri"/>
        <family val="2"/>
      </rPr>
      <t xml:space="preserve"> FROM NURSERY OUTSIDE THE ISLAND (STOLON)</t>
    </r>
  </si>
  <si>
    <t>M²</t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</si>
  <si>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 xml:space="preserve">WHIP TREE </t>
    </r>
    <r>
      <rPr>
        <sz val="12"/>
        <color theme="1"/>
        <rFont val="Calibri"/>
        <family val="2"/>
      </rPr>
      <t>FROM NURSERY OUTSIDE THE ISLAND</t>
    </r>
  </si>
  <si>
    <r>
      <rPr>
        <sz val="12"/>
        <color theme="1"/>
        <rFont val="Calibri"/>
        <family val="2"/>
      </rPr>
      <t xml:space="preserve">TRANSPORTATION FOR  </t>
    </r>
    <r>
      <rPr>
        <b/>
        <sz val="12"/>
        <color theme="1"/>
        <rFont val="Calibri"/>
        <family val="2"/>
      </rPr>
      <t>SMALL TREE</t>
    </r>
    <r>
      <rPr>
        <sz val="12"/>
        <color theme="1"/>
        <rFont val="Calibri"/>
        <family val="2"/>
      </rPr>
      <t xml:space="preserve"> FROM NURSERY OUTSIDE THE ISLAND</t>
    </r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</si>
  <si>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>MEDIUM TREE</t>
    </r>
    <r>
      <rPr>
        <sz val="12"/>
        <color theme="1"/>
        <rFont val="Calibri"/>
        <family val="2"/>
      </rPr>
      <t xml:space="preserve"> FROM NURSERY OUTSIDE THE ISLAND</t>
    </r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</si>
  <si>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>LARGE TREE</t>
    </r>
    <r>
      <rPr>
        <sz val="12"/>
        <color theme="1"/>
        <rFont val="Calibri"/>
        <family val="2"/>
      </rPr>
      <t xml:space="preserve"> FROM NURSERY OUTSIDE THE ISLAND</t>
    </r>
  </si>
  <si>
    <t>RIGGER/SKILLED</t>
  </si>
  <si>
    <t>CRANE -100T</t>
  </si>
  <si>
    <r>
      <rPr>
        <sz val="12"/>
        <color theme="1"/>
        <rFont val="Calibri"/>
        <family val="2"/>
      </rPr>
      <t>TRANSPORTATION FOR</t>
    </r>
    <r>
      <rPr>
        <b/>
        <sz val="12"/>
        <color theme="1"/>
        <rFont val="Calibri"/>
        <family val="2"/>
      </rPr>
      <t xml:space="preserve"> LARGE PALM</t>
    </r>
    <r>
      <rPr>
        <sz val="12"/>
        <color theme="1"/>
        <rFont val="Calibri"/>
        <family val="2"/>
      </rPr>
      <t xml:space="preserve"> FROM NURSERY OUTSIDE THE ISLAND</t>
    </r>
  </si>
  <si>
    <r>
      <rPr>
        <sz val="12"/>
        <color theme="1"/>
        <rFont val="Calibri"/>
        <family val="2"/>
      </rPr>
      <t>TRANSPORTATION FOR</t>
    </r>
    <r>
      <rPr>
        <b/>
        <sz val="12"/>
        <color theme="1"/>
        <rFont val="Calibri"/>
        <family val="2"/>
      </rPr>
      <t xml:space="preserve"> MEDIUM PALM </t>
    </r>
    <r>
      <rPr>
        <sz val="12"/>
        <color theme="1"/>
        <rFont val="Calibri"/>
        <family val="2"/>
      </rPr>
      <t xml:space="preserve"> FROM NURSERY OUTSIDE THE ISLAND</t>
    </r>
  </si>
  <si>
    <r>
      <rPr>
        <sz val="12"/>
        <color theme="1"/>
        <rFont val="Calibri"/>
        <family val="2"/>
      </rPr>
      <t xml:space="preserve">TRANSPORTATION FOR </t>
    </r>
    <r>
      <rPr>
        <b/>
        <sz val="12"/>
        <color theme="1"/>
        <rFont val="Calibri"/>
        <family val="2"/>
      </rPr>
      <t xml:space="preserve">SMALL PALM </t>
    </r>
    <r>
      <rPr>
        <sz val="12"/>
        <color theme="1"/>
        <rFont val="Calibri"/>
        <family val="2"/>
      </rPr>
      <t xml:space="preserve"> FROM NURSERY OUTSIDE THE ISLAND</t>
    </r>
  </si>
  <si>
    <t>washing of sand with water</t>
  </si>
  <si>
    <t>m3</t>
  </si>
  <si>
    <t>WATER TANKER 24m3/tanker</t>
  </si>
  <si>
    <t>TRANSPORTATION OF SWEET SAND
- and Mulch</t>
  </si>
  <si>
    <t>DUMP TRUCK</t>
  </si>
  <si>
    <t>TELEHANDLER</t>
  </si>
  <si>
    <t>transportation of water</t>
  </si>
  <si>
    <t>WATER TANKER 18m3/tanker</t>
  </si>
  <si>
    <t>HARD LANDSCAPE PRODUCTIVITY</t>
  </si>
  <si>
    <t xml:space="preserve">DAILY PRODUCTIVITY </t>
  </si>
  <si>
    <t>COMPACTED GRAVEL BASE /SUB BASE(Open Space)</t>
  </si>
  <si>
    <t>PTR</t>
  </si>
  <si>
    <t>GRADER</t>
  </si>
  <si>
    <t>WHEEL  LOADER</t>
  </si>
  <si>
    <t>COMPACTED GRAVEL BASE /SUB BASE(Closed Spece)</t>
  </si>
  <si>
    <t>200X200X60MM SIZE PAVER( Normal Design)</t>
  </si>
  <si>
    <t>MASON</t>
  </si>
  <si>
    <t>200X200X80MM SIZE PAVER( Normal Design)</t>
  </si>
  <si>
    <t>FORKLIFT</t>
  </si>
  <si>
    <t>200X200X60MM SIZE PAVER(  Design)</t>
  </si>
  <si>
    <t>400X400X60MM SIZE PAVER(Normal Deisgn)</t>
  </si>
  <si>
    <t>400X400X80MM SIZE PAVER(Normal Deisgn)</t>
  </si>
  <si>
    <t>400X400X60MM SIZE PAVER(Complicated Deisgn)</t>
  </si>
  <si>
    <t>600X600X30MM SIZE (Normal Deisgn)</t>
  </si>
  <si>
    <t>400X600X60MM SIZE (Normal Deisgn)</t>
  </si>
  <si>
    <t>900X900X60MM SIZE (Normal Deisgn)</t>
  </si>
  <si>
    <t>EPDM WORKS</t>
  </si>
  <si>
    <t>GRAVEL LAYING/SAND LAYING</t>
  </si>
  <si>
    <t>TACTILE PAVING</t>
  </si>
  <si>
    <t>KERB STONE</t>
  </si>
  <si>
    <t>M</t>
  </si>
  <si>
    <t>Wheel Stopper</t>
  </si>
  <si>
    <t>nb</t>
  </si>
  <si>
    <t>ALUMINIUM EDGE</t>
  </si>
  <si>
    <t>STEEL EDGE</t>
  </si>
  <si>
    <t>JOINT FILL</t>
  </si>
  <si>
    <t>M or m2</t>
  </si>
  <si>
    <t>SURFACE PREPRATION / GRADING / LEVELING</t>
  </si>
  <si>
    <t>D5</t>
  </si>
  <si>
    <t xml:space="preserve">SOIL STABILIZER SLOPED AREA </t>
  </si>
  <si>
    <t>MAN LIFT</t>
  </si>
  <si>
    <t>SOIL STABILIZER NORMAL AREA</t>
  </si>
  <si>
    <t>SOIL STABILIZER - SAND PATH</t>
  </si>
  <si>
    <t>Mobile Mixer</t>
  </si>
  <si>
    <t>Dump Truck</t>
  </si>
  <si>
    <t>CELLULAR CONFINED SYTEM SLOPED AREA</t>
  </si>
  <si>
    <t xml:space="preserve">MAN LIFT </t>
  </si>
  <si>
    <t>FORM WORK</t>
  </si>
  <si>
    <t>CARPENTOR</t>
  </si>
  <si>
    <t>BOOM TRUCK</t>
  </si>
  <si>
    <t>STEEL FIXING</t>
  </si>
  <si>
    <t xml:space="preserve">STEEL FIXER </t>
  </si>
  <si>
    <r>
      <rPr>
        <sz val="12"/>
        <color theme="1"/>
        <rFont val="Calibri"/>
        <family val="2"/>
      </rPr>
      <t xml:space="preserve">BOULDER SMALL SIZE - </t>
    </r>
    <r>
      <rPr>
        <b/>
        <sz val="12"/>
        <color theme="1"/>
        <rFont val="Calibri"/>
        <family val="2"/>
      </rPr>
      <t>INSTALL</t>
    </r>
  </si>
  <si>
    <t>NO</t>
  </si>
  <si>
    <t>Chain Excavator</t>
  </si>
  <si>
    <t>Backhoe loader</t>
  </si>
  <si>
    <r>
      <rPr>
        <sz val="12"/>
        <color theme="1"/>
        <rFont val="Calibri"/>
        <family val="2"/>
      </rPr>
      <t xml:space="preserve">BOULDER MEDIUM SIZE - </t>
    </r>
    <r>
      <rPr>
        <b/>
        <sz val="12"/>
        <color theme="1"/>
        <rFont val="Calibri"/>
        <family val="2"/>
      </rPr>
      <t>INSTALL</t>
    </r>
  </si>
  <si>
    <r>
      <rPr>
        <sz val="12"/>
        <color theme="1"/>
        <rFont val="Calibri"/>
        <family val="2"/>
      </rPr>
      <t xml:space="preserve">BOULDER Large SIZE - </t>
    </r>
    <r>
      <rPr>
        <b/>
        <sz val="12"/>
        <color theme="1"/>
        <rFont val="Calibri"/>
        <family val="2"/>
      </rPr>
      <t>INSTALL</t>
    </r>
  </si>
  <si>
    <t>Rigger</t>
  </si>
  <si>
    <t>BOULDER BOX SIZE</t>
  </si>
  <si>
    <r>
      <rPr>
        <sz val="12"/>
        <color theme="1"/>
        <rFont val="Calibri"/>
        <family val="2"/>
      </rPr>
      <t xml:space="preserve">BOULDER SMALL SIZE- </t>
    </r>
    <r>
      <rPr>
        <b/>
        <sz val="12"/>
        <color theme="1"/>
        <rFont val="Calibri"/>
        <family val="2"/>
      </rPr>
      <t>COLLECT ONLY</t>
    </r>
  </si>
  <si>
    <t>Flat Bed Trailer</t>
  </si>
  <si>
    <r>
      <rPr>
        <sz val="12"/>
        <color theme="1"/>
        <rFont val="Calibri"/>
        <family val="2"/>
      </rPr>
      <t xml:space="preserve">BOULDER Medium SIZE- </t>
    </r>
    <r>
      <rPr>
        <b/>
        <sz val="12"/>
        <color theme="1"/>
        <rFont val="Calibri"/>
        <family val="2"/>
      </rPr>
      <t>COLLECT ONLY</t>
    </r>
  </si>
  <si>
    <t>Crane 25 ton</t>
  </si>
  <si>
    <r>
      <rPr>
        <sz val="12"/>
        <color theme="1"/>
        <rFont val="Calibri"/>
        <family val="2"/>
      </rPr>
      <t xml:space="preserve">BOULDER Large SIZE- </t>
    </r>
    <r>
      <rPr>
        <b/>
        <sz val="12"/>
        <color theme="1"/>
        <rFont val="Calibri"/>
        <family val="2"/>
      </rPr>
      <t>COLLECT ONLY</t>
    </r>
  </si>
  <si>
    <t>Crane 50 ton</t>
  </si>
  <si>
    <t>GRANITE FIXED/ REMOVABLE</t>
  </si>
  <si>
    <t>SURFACE PREPRATION</t>
  </si>
  <si>
    <t>FLAKMAN</t>
  </si>
  <si>
    <t>FURNITURE FIXING CONCREAT BASE</t>
  </si>
  <si>
    <t xml:space="preserve">Timber log- </t>
  </si>
  <si>
    <t>CHANAL INSATLLATION MORTAR</t>
  </si>
  <si>
    <t>TACTAIL STUDES 300MM WIDTH</t>
  </si>
  <si>
    <t xml:space="preserve">INSTALLING GRATINGS </t>
  </si>
  <si>
    <t xml:space="preserve">UNIQ STRUCHERS FIXING </t>
  </si>
  <si>
    <t xml:space="preserve">VOID FOAM </t>
  </si>
  <si>
    <t>M³</t>
  </si>
  <si>
    <t>Boom Truck</t>
  </si>
  <si>
    <t xml:space="preserve">LEAN MIX CONCRETE </t>
  </si>
  <si>
    <t>VIBRATOR</t>
  </si>
  <si>
    <t>HELICOPTER</t>
  </si>
  <si>
    <t>CONCRETE POURING</t>
  </si>
  <si>
    <r>
      <rPr>
        <sz val="12"/>
        <color theme="1"/>
        <rFont val="Calibri"/>
        <family val="2"/>
      </rPr>
      <t>COMPACTED GRAVEL BASE /SUB BASE(</t>
    </r>
    <r>
      <rPr>
        <b/>
        <sz val="12"/>
        <color theme="1"/>
        <rFont val="Calibri"/>
        <family val="2"/>
      </rPr>
      <t>Closed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Space</t>
    </r>
    <r>
      <rPr>
        <sz val="12"/>
        <color theme="1"/>
        <rFont val="Calibri"/>
        <family val="2"/>
      </rPr>
      <t>)</t>
    </r>
  </si>
  <si>
    <t>EXCAVATOR</t>
  </si>
  <si>
    <t>Plate COMPACTOR</t>
  </si>
  <si>
    <r>
      <rPr>
        <sz val="12"/>
        <color theme="1"/>
        <rFont val="Calibri"/>
        <family val="2"/>
      </rPr>
      <t>COMPACTED GRAVEL BASE /SUB BASE(</t>
    </r>
    <r>
      <rPr>
        <b/>
        <sz val="12"/>
        <color theme="1"/>
        <rFont val="Calibri"/>
        <family val="2"/>
      </rPr>
      <t>Open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Space</t>
    </r>
    <r>
      <rPr>
        <sz val="12"/>
        <color theme="1"/>
        <rFont val="Calibri"/>
        <family val="2"/>
      </rPr>
      <t>)</t>
    </r>
  </si>
  <si>
    <t>Wheel COMPACTOR</t>
  </si>
  <si>
    <t>PAINT FINISH</t>
  </si>
  <si>
    <t>COMPACTOR</t>
  </si>
  <si>
    <t>GRANITE PAVING</t>
  </si>
  <si>
    <t>ANEMOMETER</t>
  </si>
  <si>
    <t>GLASS MOSIC TAILS</t>
  </si>
  <si>
    <t>COPPING LAYER SAND HANDLING</t>
  </si>
  <si>
    <t>RUBBER TRACK SKID LOADER (BOB CAT)</t>
  </si>
  <si>
    <t>Telescopic 17m</t>
  </si>
  <si>
    <t>DUMP TRUCK 16M3</t>
  </si>
  <si>
    <t>RE- SHAPING COUNTOURING WORK</t>
  </si>
  <si>
    <t>SHAPPER</t>
  </si>
  <si>
    <t>SPOT MORTAR</t>
  </si>
  <si>
    <t>SKID LOADER (BOB CAT)</t>
  </si>
  <si>
    <t>GROUT</t>
  </si>
  <si>
    <t>PAVING BAND</t>
  </si>
  <si>
    <t>concrete foundation/haunching</t>
  </si>
  <si>
    <r>
      <rPr>
        <sz val="12"/>
        <color theme="1"/>
        <rFont val="Calibri"/>
        <family val="2"/>
      </rPr>
      <t xml:space="preserve">stone paving </t>
    </r>
    <r>
      <rPr>
        <b/>
        <sz val="12"/>
        <color theme="1"/>
        <rFont val="Calibri"/>
        <family val="2"/>
      </rPr>
      <t>30MM</t>
    </r>
    <r>
      <rPr>
        <sz val="12"/>
        <color theme="1"/>
        <rFont val="Calibri"/>
        <family val="2"/>
      </rPr>
      <t xml:space="preserve"> thick (Normal Deisgn)</t>
    </r>
  </si>
  <si>
    <r>
      <rPr>
        <sz val="12"/>
        <color theme="1"/>
        <rFont val="Calibri"/>
        <family val="2"/>
      </rPr>
      <t xml:space="preserve">stone paving </t>
    </r>
    <r>
      <rPr>
        <b/>
        <sz val="12"/>
        <color theme="1"/>
        <rFont val="Calibri"/>
        <family val="2"/>
      </rPr>
      <t>100MM</t>
    </r>
    <r>
      <rPr>
        <sz val="12"/>
        <color theme="1"/>
        <rFont val="Calibri"/>
        <family val="2"/>
      </rPr>
      <t xml:space="preserve"> thick (Normal Deisgn)</t>
    </r>
  </si>
  <si>
    <r>
      <rPr>
        <sz val="12"/>
        <color theme="1"/>
        <rFont val="Calibri"/>
        <family val="2"/>
      </rPr>
      <t>stone Walls 2</t>
    </r>
    <r>
      <rPr>
        <b/>
        <sz val="12"/>
        <color theme="1"/>
        <rFont val="Calibri"/>
        <family val="2"/>
      </rPr>
      <t>00MM</t>
    </r>
    <r>
      <rPr>
        <sz val="12"/>
        <color theme="1"/>
        <rFont val="Calibri"/>
        <family val="2"/>
      </rPr>
      <t xml:space="preserve"> thick (Normal Deisgn)</t>
    </r>
  </si>
  <si>
    <t xml:space="preserve"> limestone stepping stone</t>
  </si>
  <si>
    <t>PEBBLE LAYING IN CONCRETE</t>
  </si>
  <si>
    <t>Collect - TRANSPORTATION of rocks/Sand</t>
  </si>
  <si>
    <t>Screener</t>
  </si>
  <si>
    <t>DUMP TRUCK
16 CU. Meter</t>
  </si>
  <si>
    <t>Treads &amp; Risers- avg thick 300mm</t>
  </si>
  <si>
    <t>Forklift</t>
  </si>
  <si>
    <t>Treads &amp; Risers- avg thick 450mm</t>
  </si>
  <si>
    <t>Treads &amp; Risers- avg thick 900mm sunken Seat</t>
  </si>
  <si>
    <t>Treads &amp; Risers</t>
  </si>
  <si>
    <t>Shapping of rocks</t>
  </si>
  <si>
    <t>Installation of Boardwalks</t>
  </si>
  <si>
    <t>m2</t>
  </si>
  <si>
    <t>Telehandler</t>
  </si>
  <si>
    <t xml:space="preserve">3c x 6mm2 </t>
  </si>
  <si>
    <t>lm</t>
  </si>
  <si>
    <t>Soakaway
1000x500x250</t>
  </si>
  <si>
    <t>IRRIGATION PRODUCTIVITY</t>
  </si>
  <si>
    <t>PRODUCTIVITY 
PER DAY</t>
  </si>
  <si>
    <t>MH</t>
  </si>
  <si>
    <r>
      <rPr>
        <sz val="12"/>
        <color theme="1"/>
        <rFont val="Calibri"/>
        <family val="2"/>
      </rPr>
      <t xml:space="preserve">TRENCH EXCAVATION FOR MAINLINE (sandy soil)  </t>
    </r>
    <r>
      <rPr>
        <b/>
        <sz val="12"/>
        <color theme="1"/>
        <rFont val="Calibri"/>
        <family val="2"/>
      </rPr>
      <t xml:space="preserve">excluding disposal </t>
    </r>
  </si>
  <si>
    <r>
      <rPr>
        <sz val="12"/>
        <color theme="1"/>
        <rFont val="Calibri"/>
        <family val="2"/>
      </rPr>
      <t xml:space="preserve">TRENCH EXCAVATION FOR MAINLINE  (rocky soil) </t>
    </r>
    <r>
      <rPr>
        <b/>
        <sz val="12"/>
        <color theme="1"/>
        <rFont val="Calibri"/>
        <family val="2"/>
      </rPr>
      <t xml:space="preserve">up to 80 cm deep excluding disposal </t>
    </r>
  </si>
  <si>
    <r>
      <rPr>
        <sz val="12"/>
        <color theme="1"/>
        <rFont val="Calibri"/>
        <family val="2"/>
      </rPr>
      <t xml:space="preserve">MANUAL TRENCH EXCAVATION FOR LATERAL LINE </t>
    </r>
    <r>
      <rPr>
        <b/>
        <sz val="12"/>
        <color theme="1"/>
        <rFont val="Calibri"/>
        <family val="2"/>
      </rPr>
      <t xml:space="preserve">in loose soil  excluding disposal  </t>
    </r>
  </si>
  <si>
    <t>SAND BEDDING</t>
  </si>
  <si>
    <t xml:space="preserve">TELEHANDLER or skid loader </t>
  </si>
  <si>
    <t>DISPOSAL/Scattering leveling around work area</t>
  </si>
  <si>
    <t>BACKFILLING OF MATERIALS</t>
  </si>
  <si>
    <t>BACKFILLING OF EXCAVATED MATERIALS w/ screening
rocky soil</t>
  </si>
  <si>
    <t>UPVC/HDPE PIPE TRANSPORTATION, LAYING AND FIXING (360 MM)</t>
  </si>
  <si>
    <t xml:space="preserve">MASON if thrustblocks are required </t>
  </si>
  <si>
    <t>UPVC/HDPE PIPE TRANSPORTATION, LAYING AND FIXING (315 MM)</t>
  </si>
  <si>
    <t>UPVC/HDPE PIPE TRANSPORTATION, LAYING AND FIXING (250 MM)</t>
  </si>
  <si>
    <t>UPVC/HDPE PIPE TRANSPORTATION, LAYING AND FIXING (200 &amp; 160 MM)</t>
  </si>
  <si>
    <t>UPVC/HDPE PIPE TRANSPORTATION, LAYING AND FIXING (110 &amp; 90 MM)</t>
  </si>
  <si>
    <r>
      <rPr>
        <sz val="12"/>
        <color theme="1"/>
        <rFont val="Calibri"/>
        <family val="2"/>
      </rPr>
      <t xml:space="preserve">UPVC/HDPE PIPE TRANSPORTATION, LAYING AND FIXING
(75 &amp; 63 MM) </t>
    </r>
    <r>
      <rPr>
        <b/>
        <sz val="12"/>
        <color theme="1"/>
        <rFont val="Calibri"/>
        <family val="2"/>
      </rPr>
      <t>excluding excavation</t>
    </r>
  </si>
  <si>
    <r>
      <rPr>
        <sz val="12"/>
        <color theme="1"/>
        <rFont val="Calibri"/>
        <family val="2"/>
      </rPr>
      <t xml:space="preserve">UPVC/HDPE PIPE TRANSPORTATION, LAYING AND FIXING
(50 &amp; 40 MM) </t>
    </r>
    <r>
      <rPr>
        <b/>
        <sz val="12"/>
        <color theme="1"/>
        <rFont val="Calibri"/>
        <family val="2"/>
      </rPr>
      <t>excluding excavation</t>
    </r>
  </si>
  <si>
    <r>
      <rPr>
        <sz val="12"/>
        <color theme="1"/>
        <rFont val="Calibri"/>
        <family val="2"/>
      </rPr>
      <t>UPVC/HDPE PIPE TRANSPORTATION, LAYING AND FIXING
(32 &amp; 25 &amp; 20 MM)</t>
    </r>
    <r>
      <rPr>
        <b/>
        <sz val="12"/>
        <color theme="1"/>
        <rFont val="Calibri"/>
        <family val="2"/>
      </rPr>
      <t xml:space="preserve"> excluding excavation</t>
    </r>
    <r>
      <rPr>
        <sz val="12"/>
        <color theme="1"/>
        <rFont val="Calibri"/>
        <family val="2"/>
      </rPr>
      <t xml:space="preserve"> </t>
    </r>
  </si>
  <si>
    <t>WARNING TAPE</t>
  </si>
  <si>
    <t>CONCRETE</t>
  </si>
  <si>
    <t>PRESSURE TEST</t>
  </si>
  <si>
    <t>SOLENOID VALVE ASSEMBLY FIXING AND INSTALLATION
(3")</t>
  </si>
  <si>
    <t>SOLENOID VALVE ASSEMBLY FIXING AND INSTALLATION
(2")</t>
  </si>
  <si>
    <t>SOLENOID VALVE ASSEMBLY FIXING AND INSTALLATION
(1.5" &amp; 1")</t>
  </si>
  <si>
    <t>QCV ASSEMBLY FIXING AND INSTALLATION</t>
  </si>
  <si>
    <t>ISOLATION GATE VALVE FIXING AND INSTALLATION (above 6")</t>
  </si>
  <si>
    <t>ISOLATION GATE VALVE FIXING AND INSTALLATION (4"&amp; 6")</t>
  </si>
  <si>
    <t>ISOLATION GATE VALVE FIXING AND INSTALLATION (below 4")</t>
  </si>
  <si>
    <t>AIR VALVE ASSEMBLY FIXING AND INSTALLATION</t>
  </si>
  <si>
    <t>CONTROLLER INSTALLATION AND WIRES CONNECTION</t>
  </si>
  <si>
    <t>IRRIGATION WIRE LAYING</t>
  </si>
  <si>
    <t>DRIP RISER INSTALLATION</t>
  </si>
  <si>
    <t>BUBBLER INSTALLATION</t>
  </si>
  <si>
    <r>
      <t>SPRAYER FIXING AND INSTALLATION  s</t>
    </r>
    <r>
      <rPr>
        <b/>
        <sz val="9"/>
        <color theme="1"/>
        <rFont val="Calibri"/>
        <family val="2"/>
      </rPr>
      <t xml:space="preserve">addle type pop up </t>
    </r>
  </si>
  <si>
    <r>
      <t xml:space="preserve">ROTOR FIXING AND INSTALLATION </t>
    </r>
    <r>
      <rPr>
        <b/>
        <sz val="9"/>
        <color theme="1"/>
        <rFont val="Calibri"/>
        <family val="2"/>
      </rPr>
      <t xml:space="preserve">for golf course   </t>
    </r>
  </si>
  <si>
    <t>PE TUBE LAYING</t>
  </si>
  <si>
    <t>EMITTER INSTALLATION</t>
  </si>
  <si>
    <t>PE FLUSH VALVE</t>
  </si>
  <si>
    <t>FLOW SENSOR</t>
  </si>
  <si>
    <t>MASTER VALVE</t>
  </si>
  <si>
    <t>BACKFLOW PREVENTER ASSEMBLY FIXING AND INSTALLATION (3" &amp; 2")</t>
  </si>
  <si>
    <t>PiPE SUPPORT HANGERS</t>
  </si>
  <si>
    <t>PULL BOX</t>
  </si>
  <si>
    <t>EARTHING/GROUND  WIRE LAYING</t>
  </si>
  <si>
    <t>Irrigation Pump Installation</t>
  </si>
  <si>
    <t>Flat Bed</t>
  </si>
  <si>
    <t>100 T Crane</t>
  </si>
  <si>
    <t>SURFACE PREPRATION / GRADING / LEVELING- Fine GRADING</t>
  </si>
  <si>
    <t>John Deer</t>
  </si>
  <si>
    <t>Sand Pro- Drag Mat</t>
  </si>
  <si>
    <t>RE-SHAPPING</t>
  </si>
  <si>
    <t>D5-D6</t>
  </si>
  <si>
    <t>Skid Loader</t>
  </si>
  <si>
    <t>Tr. Exc'n</t>
  </si>
  <si>
    <t>bottom</t>
  </si>
  <si>
    <t xml:space="preserve">Top </t>
  </si>
  <si>
    <t>Depth</t>
  </si>
  <si>
    <t>Volume/meter</t>
  </si>
  <si>
    <t>Productivity (m3/day)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</si>
</sst>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rgb="FFFF0000"/>
      <name val="Calibri"/>
      <family val="2"/>
    </font>
    <font>
      <strike/>
      <sz val="12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  <scheme val="minor"/>
    </font>
    <font>
      <sz val="9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33CCFF"/>
        <bgColor rgb="FF33CCFF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669900"/>
        <bgColor rgb="FF669900"/>
      </patternFill>
    </fill>
    <fill>
      <patternFill patternType="solid">
        <fgColor rgb="FFE5B8B7"/>
        <bgColor rgb="FFE5B8B7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33CCFF"/>
      </patternFill>
    </fill>
    <fill>
      <patternFill patternType="solid">
        <fgColor rgb="FFDAEEF3"/>
        <bgColor rgb="FFDAEEF3"/>
      </patternFill>
    </fill>
    <fill>
      <patternFill patternType="solid">
        <fgColor rgb="FF66CCFF"/>
        <bgColor rgb="FF66CCFF"/>
      </patternFill>
    </fill>
    <fill>
      <patternFill patternType="solid">
        <fgColor rgb="FFA5A5A5"/>
        <bgColor rgb="FFA5A5A5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0" fontId="1" fillId="3" borderId="3" xfId="0" applyNumberFormat="1" applyFont="1" applyFill="1" applyBorder="1" applyAlignment="1">
      <alignment horizontal="center" vertical="center" wrapText="1"/>
    </xf>
    <xf numFmtId="40" fontId="1" fillId="3" borderId="3" xfId="0" applyNumberFormat="1" applyFont="1" applyFill="1" applyBorder="1" applyAlignment="1">
      <alignment horizontal="center" vertical="center"/>
    </xf>
    <xf numFmtId="40" fontId="2" fillId="3" borderId="3" xfId="0" applyNumberFormat="1" applyFont="1" applyFill="1" applyBorder="1" applyAlignment="1">
      <alignment horizontal="center" vertical="center"/>
    </xf>
    <xf numFmtId="40" fontId="2" fillId="3" borderId="5" xfId="0" applyNumberFormat="1" applyFont="1" applyFill="1" applyBorder="1" applyAlignment="1">
      <alignment horizontal="center" vertical="center" wrapText="1"/>
    </xf>
    <xf numFmtId="40" fontId="1" fillId="3" borderId="5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0" fontId="2" fillId="3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40" fontId="1" fillId="4" borderId="3" xfId="0" applyNumberFormat="1" applyFont="1" applyFill="1" applyBorder="1" applyAlignment="1">
      <alignment horizontal="center" vertical="center" wrapText="1"/>
    </xf>
    <xf numFmtId="40" fontId="1" fillId="4" borderId="3" xfId="0" applyNumberFormat="1" applyFont="1" applyFill="1" applyBorder="1" applyAlignment="1">
      <alignment horizontal="center" vertical="center"/>
    </xf>
    <xf numFmtId="40" fontId="2" fillId="4" borderId="3" xfId="0" applyNumberFormat="1" applyFont="1" applyFill="1" applyBorder="1" applyAlignment="1">
      <alignment horizontal="center" vertical="center"/>
    </xf>
    <xf numFmtId="40" fontId="2" fillId="4" borderId="3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0" fontId="1" fillId="0" borderId="2" xfId="0" applyNumberFormat="1" applyFont="1" applyBorder="1" applyAlignment="1">
      <alignment horizontal="center" vertical="center" wrapText="1"/>
    </xf>
    <xf numFmtId="40" fontId="2" fillId="3" borderId="7" xfId="0" applyNumberFormat="1" applyFont="1" applyFill="1" applyBorder="1" applyAlignment="1">
      <alignment horizontal="center" vertical="center" wrapText="1"/>
    </xf>
    <xf numFmtId="40" fontId="1" fillId="3" borderId="7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0" fontId="1" fillId="5" borderId="3" xfId="0" applyNumberFormat="1" applyFont="1" applyFill="1" applyBorder="1" applyAlignment="1">
      <alignment horizontal="center" vertical="center" wrapText="1"/>
    </xf>
    <xf numFmtId="40" fontId="2" fillId="3" borderId="6" xfId="0" applyNumberFormat="1" applyFont="1" applyFill="1" applyBorder="1" applyAlignment="1">
      <alignment horizontal="center" vertical="center" wrapText="1"/>
    </xf>
    <xf numFmtId="40" fontId="1" fillId="3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0" fontId="1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0" fontId="1" fillId="0" borderId="0" xfId="0" applyNumberFormat="1" applyFont="1" applyAlignment="1">
      <alignment horizontal="center" vertical="center" wrapText="1"/>
    </xf>
    <xf numFmtId="40" fontId="2" fillId="0" borderId="0" xfId="0" applyNumberFormat="1" applyFont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0" fontId="1" fillId="4" borderId="9" xfId="0" applyNumberFormat="1" applyFont="1" applyFill="1" applyBorder="1" applyAlignment="1">
      <alignment horizontal="center" vertical="center"/>
    </xf>
    <xf numFmtId="40" fontId="1" fillId="4" borderId="8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40" fontId="1" fillId="4" borderId="0" xfId="0" applyNumberFormat="1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2" fontId="1" fillId="3" borderId="7" xfId="0" applyNumberFormat="1" applyFont="1" applyFill="1" applyBorder="1" applyAlignment="1">
      <alignment horizontal="center" vertical="center" wrapText="1"/>
    </xf>
    <xf numFmtId="40" fontId="1" fillId="0" borderId="0" xfId="0" applyNumberFormat="1" applyFont="1" applyAlignment="1">
      <alignment horizontal="center" vertical="center"/>
    </xf>
    <xf numFmtId="40" fontId="1" fillId="7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0" fontId="1" fillId="0" borderId="3" xfId="0" applyNumberFormat="1" applyFont="1" applyBorder="1" applyAlignment="1">
      <alignment horizontal="center" vertical="center"/>
    </xf>
    <xf numFmtId="40" fontId="2" fillId="0" borderId="5" xfId="0" applyNumberFormat="1" applyFont="1" applyBorder="1" applyAlignment="1">
      <alignment horizontal="center" vertical="center" wrapText="1"/>
    </xf>
    <xf numFmtId="40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40" fontId="1" fillId="5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2" fontId="1" fillId="8" borderId="3" xfId="0" applyNumberFormat="1" applyFont="1" applyFill="1" applyBorder="1" applyAlignment="1">
      <alignment horizontal="center" vertical="center" wrapText="1"/>
    </xf>
    <xf numFmtId="40" fontId="1" fillId="8" borderId="3" xfId="0" applyNumberFormat="1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 wrapText="1"/>
    </xf>
    <xf numFmtId="165" fontId="1" fillId="8" borderId="3" xfId="0" applyNumberFormat="1" applyFont="1" applyFill="1" applyBorder="1" applyAlignment="1">
      <alignment horizontal="center" vertical="center" wrapText="1"/>
    </xf>
    <xf numFmtId="40" fontId="1" fillId="8" borderId="3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40" fontId="2" fillId="11" borderId="3" xfId="0" applyNumberFormat="1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40" fontId="1" fillId="11" borderId="3" xfId="0" applyNumberFormat="1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4" fontId="1" fillId="13" borderId="3" xfId="0" applyNumberFormat="1" applyFont="1" applyFill="1" applyBorder="1" applyAlignment="1">
      <alignment horizontal="center" vertical="center" wrapText="1"/>
    </xf>
    <xf numFmtId="40" fontId="1" fillId="13" borderId="5" xfId="0" applyNumberFormat="1" applyFont="1" applyFill="1" applyBorder="1" applyAlignment="1">
      <alignment horizontal="center" vertical="center" wrapText="1"/>
    </xf>
    <xf numFmtId="40" fontId="1" fillId="13" borderId="6" xfId="0" applyNumberFormat="1" applyFont="1" applyFill="1" applyBorder="1" applyAlignment="1">
      <alignment horizontal="center" vertical="center" wrapText="1"/>
    </xf>
    <xf numFmtId="40" fontId="1" fillId="13" borderId="7" xfId="0" applyNumberFormat="1" applyFont="1" applyFill="1" applyBorder="1" applyAlignment="1">
      <alignment horizontal="center" vertical="center" wrapText="1"/>
    </xf>
    <xf numFmtId="40" fontId="2" fillId="11" borderId="5" xfId="0" applyNumberFormat="1" applyFont="1" applyFill="1" applyBorder="1" applyAlignment="1">
      <alignment horizontal="center" vertical="center" wrapText="1"/>
    </xf>
    <xf numFmtId="38" fontId="1" fillId="4" borderId="3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40" fontId="1" fillId="3" borderId="5" xfId="0" applyNumberFormat="1" applyFont="1" applyFill="1" applyBorder="1" applyAlignment="1">
      <alignment horizontal="center" vertical="center"/>
    </xf>
    <xf numFmtId="40" fontId="1" fillId="3" borderId="7" xfId="0" applyNumberFormat="1" applyFont="1" applyFill="1" applyBorder="1" applyAlignment="1">
      <alignment horizontal="center" vertical="center"/>
    </xf>
    <xf numFmtId="40" fontId="1" fillId="4" borderId="5" xfId="0" applyNumberFormat="1" applyFont="1" applyFill="1" applyBorder="1" applyAlignment="1">
      <alignment horizontal="center" vertical="center"/>
    </xf>
    <xf numFmtId="40" fontId="1" fillId="4" borderId="7" xfId="0" applyNumberFormat="1" applyFont="1" applyFill="1" applyBorder="1" applyAlignment="1">
      <alignment horizontal="center" vertical="center"/>
    </xf>
    <xf numFmtId="40" fontId="1" fillId="4" borderId="6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0" fontId="2" fillId="0" borderId="3" xfId="0" applyNumberFormat="1" applyFont="1" applyBorder="1" applyAlignment="1">
      <alignment horizontal="center" vertical="center" wrapText="1"/>
    </xf>
    <xf numFmtId="40" fontId="1" fillId="0" borderId="5" xfId="0" applyNumberFormat="1" applyFont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40" fontId="2" fillId="0" borderId="2" xfId="0" applyNumberFormat="1" applyFont="1" applyBorder="1" applyAlignment="1">
      <alignment horizontal="center" vertical="center" wrapText="1"/>
    </xf>
    <xf numFmtId="40" fontId="2" fillId="0" borderId="10" xfId="0" applyNumberFormat="1" applyFont="1" applyBorder="1" applyAlignment="1">
      <alignment horizontal="center" vertical="center" wrapText="1"/>
    </xf>
    <xf numFmtId="40" fontId="1" fillId="0" borderId="10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0" fontId="1" fillId="3" borderId="0" xfId="0" applyNumberFormat="1" applyFont="1" applyFill="1" applyAlignment="1">
      <alignment horizontal="center" vertical="center" wrapText="1"/>
    </xf>
    <xf numFmtId="40" fontId="2" fillId="3" borderId="0" xfId="0" applyNumberFormat="1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40" fontId="1" fillId="3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43" fontId="1" fillId="0" borderId="0" xfId="0" applyNumberFormat="1" applyFont="1" applyAlignment="1">
      <alignment horizontal="center" vertical="center" wrapText="1"/>
    </xf>
    <xf numFmtId="4" fontId="12" fillId="16" borderId="11" xfId="0" applyNumberFormat="1" applyFont="1" applyFill="1" applyBorder="1" applyAlignment="1">
      <alignment horizontal="center" vertical="center"/>
    </xf>
    <xf numFmtId="4" fontId="12" fillId="16" borderId="12" xfId="0" applyNumberFormat="1" applyFont="1" applyFill="1" applyBorder="1" applyAlignment="1">
      <alignment horizontal="center" vertical="center"/>
    </xf>
    <xf numFmtId="43" fontId="12" fillId="16" borderId="12" xfId="0" applyNumberFormat="1" applyFont="1" applyFill="1" applyBorder="1" applyAlignment="1">
      <alignment horizontal="center" vertical="center"/>
    </xf>
    <xf numFmtId="4" fontId="12" fillId="16" borderId="13" xfId="0" applyNumberFormat="1" applyFont="1" applyFill="1" applyBorder="1" applyAlignment="1">
      <alignment horizontal="center" vertical="center"/>
    </xf>
    <xf numFmtId="4" fontId="12" fillId="16" borderId="14" xfId="0" applyNumberFormat="1" applyFont="1" applyFill="1" applyBorder="1" applyAlignment="1">
      <alignment horizontal="center" vertical="center"/>
    </xf>
    <xf numFmtId="4" fontId="12" fillId="16" borderId="15" xfId="0" applyNumberFormat="1" applyFont="1" applyFill="1" applyBorder="1" applyAlignment="1">
      <alignment horizontal="center" vertical="center"/>
    </xf>
    <xf numFmtId="43" fontId="12" fillId="16" borderId="15" xfId="0" applyNumberFormat="1" applyFont="1" applyFill="1" applyBorder="1" applyAlignment="1">
      <alignment horizontal="center" vertical="center"/>
    </xf>
    <xf numFmtId="4" fontId="12" fillId="16" borderId="16" xfId="0" applyNumberFormat="1" applyFont="1" applyFill="1" applyBorder="1" applyAlignment="1">
      <alignment horizontal="center" vertical="center"/>
    </xf>
    <xf numFmtId="4" fontId="12" fillId="16" borderId="11" xfId="0" applyNumberFormat="1" applyFont="1" applyFill="1" applyBorder="1" applyAlignment="1">
      <alignment horizontal="center" vertical="center" wrapText="1"/>
    </xf>
    <xf numFmtId="4" fontId="12" fillId="16" borderId="17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TechCare\Nesma\Typical%20Demo\Feasibility%20LSD.xlsx" TargetMode="External"/><Relationship Id="rId1" Type="http://schemas.openxmlformats.org/officeDocument/2006/relationships/externalLinkPath" Target="Feasibility%20LS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sibility Final"/>
      <sheetName val="NESMA SUMMARY"/>
      <sheetName val="HARDSCAPE"/>
      <sheetName val="Fences"/>
      <sheetName val="LS BOQ"/>
      <sheetName val="FUR-SIG-LIGHT"/>
      <sheetName val="VE LIST"/>
      <sheetName val="offers (2)"/>
      <sheetName val="Offers"/>
      <sheetName val="Const. Productivity Rates Mod"/>
      <sheetName val="Calculations"/>
      <sheetName val="boq items"/>
      <sheetName val="Main Summary"/>
      <sheetName val="Prelims 1a - Prelims"/>
      <sheetName val="Bill 1b - Prelims(Staff Accomm)"/>
      <sheetName val="Bill 3 - Villas"/>
      <sheetName val="Bill 4 - Sitewide"/>
    </sheetNames>
    <sheetDataSet>
      <sheetData sheetId="0"/>
      <sheetData sheetId="1"/>
      <sheetData sheetId="2">
        <row r="4">
          <cell r="L4">
            <v>14.5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9"/>
  <sheetViews>
    <sheetView tabSelected="1" topLeftCell="A1003" zoomScale="85" zoomScaleNormal="85" workbookViewId="0">
      <selection activeCell="H1003" sqref="H1003"/>
    </sheetView>
  </sheetViews>
  <sheetFormatPr defaultRowHeight="14.25" x14ac:dyDescent="0.45"/>
  <cols>
    <col min="16" max="16" width="18.53125" customWidth="1"/>
  </cols>
  <sheetData>
    <row r="1" spans="1:11" ht="15.75" x14ac:dyDescent="0.45">
      <c r="A1" s="1"/>
      <c r="B1" s="1"/>
      <c r="C1" s="1"/>
      <c r="D1" s="1"/>
      <c r="E1" s="2"/>
      <c r="F1" s="1"/>
      <c r="G1" s="1"/>
      <c r="H1" s="1"/>
    </row>
    <row r="2" spans="1:11" ht="173.25" x14ac:dyDescent="0.45">
      <c r="A2" s="3" t="s">
        <v>0</v>
      </c>
      <c r="B2" s="4"/>
      <c r="C2" s="4"/>
      <c r="D2" s="4"/>
      <c r="E2" s="4"/>
      <c r="F2" s="4"/>
      <c r="G2" s="4"/>
      <c r="H2" s="4"/>
    </row>
    <row r="3" spans="1:11" ht="47.25" x14ac:dyDescent="0.45">
      <c r="A3" s="5" t="s">
        <v>1</v>
      </c>
      <c r="B3" s="5" t="s">
        <v>2</v>
      </c>
      <c r="C3" s="6" t="s">
        <v>3</v>
      </c>
      <c r="D3" s="7"/>
      <c r="E3" s="5" t="s">
        <v>4</v>
      </c>
      <c r="F3" s="5" t="s">
        <v>5</v>
      </c>
      <c r="G3" s="8" t="s">
        <v>6</v>
      </c>
      <c r="H3" s="9" t="s">
        <v>7</v>
      </c>
      <c r="K3" s="137">
        <f>[1]HARDSCAPE!L4</f>
        <v>14.5</v>
      </c>
    </row>
    <row r="4" spans="1:11" ht="31.5" x14ac:dyDescent="0.45">
      <c r="A4" s="10" t="s">
        <v>8</v>
      </c>
      <c r="B4" s="11" t="s">
        <v>9</v>
      </c>
      <c r="C4" s="12" t="s">
        <v>10</v>
      </c>
      <c r="D4" s="13">
        <v>1</v>
      </c>
      <c r="E4" s="14">
        <v>10</v>
      </c>
      <c r="F4" s="15">
        <f>18*4</f>
        <v>72</v>
      </c>
      <c r="G4" s="16">
        <f>(D4+D5)*E4/F4</f>
        <v>0.27777777777777779</v>
      </c>
      <c r="H4" s="17">
        <f>G4*$K$3</f>
        <v>4.0277777777777777</v>
      </c>
    </row>
    <row r="5" spans="1:11" ht="31.5" x14ac:dyDescent="0.45">
      <c r="A5" s="18"/>
      <c r="B5" s="19"/>
      <c r="C5" s="12" t="s">
        <v>11</v>
      </c>
      <c r="D5" s="13">
        <v>1</v>
      </c>
      <c r="E5" s="14"/>
      <c r="F5" s="15"/>
      <c r="G5" s="20"/>
      <c r="H5" s="13"/>
    </row>
    <row r="6" spans="1:11" ht="31.5" x14ac:dyDescent="0.45">
      <c r="A6" s="18"/>
      <c r="B6" s="19"/>
      <c r="C6" s="21" t="s">
        <v>12</v>
      </c>
      <c r="D6" s="22">
        <v>0.2</v>
      </c>
      <c r="E6" s="23">
        <f t="shared" ref="E6:F6" si="0">E4</f>
        <v>10</v>
      </c>
      <c r="F6" s="24">
        <f t="shared" si="0"/>
        <v>72</v>
      </c>
      <c r="G6" s="25">
        <f>D6*E6/F6</f>
        <v>2.7777777777777776E-2</v>
      </c>
      <c r="H6" s="22">
        <f>G6*O$1022</f>
        <v>0</v>
      </c>
    </row>
    <row r="7" spans="1:11" ht="78.75" x14ac:dyDescent="0.45">
      <c r="A7" s="26"/>
      <c r="B7" s="27"/>
      <c r="C7" s="21" t="s">
        <v>13</v>
      </c>
      <c r="D7" s="22">
        <v>1</v>
      </c>
      <c r="E7" s="23"/>
      <c r="F7" s="24"/>
      <c r="G7" s="25">
        <f>D7*E6/F6</f>
        <v>0.1388888888888889</v>
      </c>
      <c r="H7" s="22">
        <f>G7*O$1024</f>
        <v>0</v>
      </c>
    </row>
    <row r="8" spans="1:11" ht="15.75" x14ac:dyDescent="0.45">
      <c r="A8" s="28"/>
      <c r="B8" s="29"/>
      <c r="C8" s="29"/>
      <c r="D8" s="30"/>
      <c r="E8" s="30"/>
      <c r="F8" s="30"/>
      <c r="G8" s="30"/>
      <c r="H8" s="30"/>
    </row>
    <row r="9" spans="1:11" ht="31.5" x14ac:dyDescent="0.45">
      <c r="A9" s="10" t="s">
        <v>14</v>
      </c>
      <c r="B9" s="11" t="s">
        <v>9</v>
      </c>
      <c r="C9" s="12" t="s">
        <v>10</v>
      </c>
      <c r="D9" s="13">
        <v>1</v>
      </c>
      <c r="E9" s="14">
        <f>E4</f>
        <v>10</v>
      </c>
      <c r="F9" s="14">
        <v>35</v>
      </c>
      <c r="G9" s="16">
        <f>(D9+D10)*E9/F9</f>
        <v>0.5714285714285714</v>
      </c>
      <c r="H9" s="17">
        <f>G9*$K$3</f>
        <v>8.2857142857142847</v>
      </c>
    </row>
    <row r="10" spans="1:11" ht="31.5" x14ac:dyDescent="0.45">
      <c r="A10" s="18"/>
      <c r="B10" s="19"/>
      <c r="C10" s="12" t="s">
        <v>11</v>
      </c>
      <c r="D10" s="13">
        <v>1</v>
      </c>
      <c r="E10" s="14"/>
      <c r="F10" s="14"/>
      <c r="G10" s="31"/>
      <c r="H10" s="32"/>
    </row>
    <row r="11" spans="1:11" ht="31.5" x14ac:dyDescent="0.45">
      <c r="A11" s="18"/>
      <c r="B11" s="19"/>
      <c r="C11" s="21" t="s">
        <v>12</v>
      </c>
      <c r="D11" s="22">
        <v>0.2</v>
      </c>
      <c r="E11" s="23">
        <f t="shared" ref="E11:F11" si="1">E9</f>
        <v>10</v>
      </c>
      <c r="F11" s="23">
        <f t="shared" si="1"/>
        <v>35</v>
      </c>
      <c r="G11" s="25">
        <f>D11*E11/F11</f>
        <v>5.7142857142857141E-2</v>
      </c>
      <c r="H11" s="22">
        <f>G11*O$1022</f>
        <v>0</v>
      </c>
    </row>
    <row r="12" spans="1:11" ht="78.75" x14ac:dyDescent="0.45">
      <c r="A12" s="18"/>
      <c r="B12" s="19"/>
      <c r="C12" s="21" t="s">
        <v>13</v>
      </c>
      <c r="D12" s="25">
        <v>0.5</v>
      </c>
      <c r="E12" s="23"/>
      <c r="F12" s="23"/>
      <c r="G12" s="25">
        <f>D12*E11/F11</f>
        <v>0.14285714285714285</v>
      </c>
      <c r="H12" s="22">
        <f>G12*$O$1024</f>
        <v>0</v>
      </c>
    </row>
    <row r="13" spans="1:11" ht="63" x14ac:dyDescent="0.45">
      <c r="A13" s="26"/>
      <c r="B13" s="27"/>
      <c r="C13" s="21" t="s">
        <v>15</v>
      </c>
      <c r="D13" s="25">
        <v>0.5</v>
      </c>
      <c r="E13" s="23"/>
      <c r="F13" s="23"/>
      <c r="G13" s="25">
        <f>D13*E11/F11</f>
        <v>0.14285714285714285</v>
      </c>
      <c r="H13" s="22">
        <f>G13*$O$1025</f>
        <v>0</v>
      </c>
    </row>
    <row r="14" spans="1:11" ht="15.75" x14ac:dyDescent="0.45">
      <c r="A14" s="28"/>
      <c r="B14" s="29"/>
      <c r="C14" s="29"/>
      <c r="D14" s="30">
        <f>1600000/150</f>
        <v>10666.666666666666</v>
      </c>
      <c r="E14" s="30">
        <f>D14/0.4</f>
        <v>26666.666666666664</v>
      </c>
      <c r="F14" s="30"/>
      <c r="G14" s="30"/>
      <c r="H14" s="30"/>
    </row>
    <row r="15" spans="1:11" ht="31.5" x14ac:dyDescent="0.45">
      <c r="A15" s="33" t="s">
        <v>16</v>
      </c>
      <c r="B15" s="10" t="s">
        <v>9</v>
      </c>
      <c r="C15" s="12" t="s">
        <v>10</v>
      </c>
      <c r="D15" s="13">
        <v>1</v>
      </c>
      <c r="E15" s="14">
        <f>E4</f>
        <v>10</v>
      </c>
      <c r="F15" s="14">
        <v>180</v>
      </c>
      <c r="G15" s="16">
        <f>(D15+D17+D16)*E15/F15</f>
        <v>0.16666666666666666</v>
      </c>
      <c r="H15" s="17">
        <f>G15*$K$3</f>
        <v>2.4166666666666665</v>
      </c>
    </row>
    <row r="16" spans="1:11" ht="31.5" x14ac:dyDescent="0.45">
      <c r="A16" s="34"/>
      <c r="B16" s="18"/>
      <c r="C16" s="12" t="s">
        <v>11</v>
      </c>
      <c r="D16" s="35">
        <v>2</v>
      </c>
      <c r="E16" s="14"/>
      <c r="F16" s="14"/>
      <c r="G16" s="36"/>
      <c r="H16" s="37"/>
    </row>
    <row r="17" spans="1:8" ht="15.75" x14ac:dyDescent="0.45">
      <c r="A17" s="34"/>
      <c r="B17" s="18"/>
      <c r="C17" s="12" t="s">
        <v>17</v>
      </c>
      <c r="D17" s="13">
        <v>0</v>
      </c>
      <c r="E17" s="14"/>
      <c r="F17" s="14"/>
      <c r="G17" s="31"/>
      <c r="H17" s="32"/>
    </row>
    <row r="18" spans="1:8" ht="31.5" x14ac:dyDescent="0.45">
      <c r="A18" s="34"/>
      <c r="B18" s="18"/>
      <c r="C18" s="21" t="s">
        <v>12</v>
      </c>
      <c r="D18" s="35">
        <v>0.5</v>
      </c>
      <c r="E18" s="23">
        <f t="shared" ref="E18:F18" si="2">E15</f>
        <v>10</v>
      </c>
      <c r="F18" s="23">
        <f t="shared" si="2"/>
        <v>180</v>
      </c>
      <c r="G18" s="25">
        <f>D18*E18/F18</f>
        <v>2.7777777777777776E-2</v>
      </c>
      <c r="H18" s="22">
        <f>G18*O$1022</f>
        <v>0</v>
      </c>
    </row>
    <row r="19" spans="1:8" ht="31.5" x14ac:dyDescent="0.45">
      <c r="A19" s="34"/>
      <c r="B19" s="18"/>
      <c r="C19" s="21" t="s">
        <v>18</v>
      </c>
      <c r="D19" s="35">
        <v>0.5</v>
      </c>
      <c r="E19" s="23"/>
      <c r="F19" s="23"/>
      <c r="G19" s="25">
        <f>D19*E18/F18</f>
        <v>2.7777777777777776E-2</v>
      </c>
      <c r="H19" s="22">
        <f>G19*$O$1026</f>
        <v>0</v>
      </c>
    </row>
    <row r="20" spans="1:8" ht="63" x14ac:dyDescent="0.45">
      <c r="A20" s="34"/>
      <c r="B20" s="18"/>
      <c r="C20" s="21" t="s">
        <v>19</v>
      </c>
      <c r="D20" s="35">
        <v>0.6</v>
      </c>
      <c r="E20" s="23"/>
      <c r="F20" s="23"/>
      <c r="G20" s="25">
        <f>D20*E18/F18</f>
        <v>3.3333333333333333E-2</v>
      </c>
      <c r="H20" s="22">
        <f>G20*$O$1050</f>
        <v>0</v>
      </c>
    </row>
    <row r="21" spans="1:8" ht="47.25" x14ac:dyDescent="0.45">
      <c r="A21" s="38"/>
      <c r="B21" s="26"/>
      <c r="C21" s="21" t="s">
        <v>20</v>
      </c>
      <c r="D21" s="22">
        <v>1</v>
      </c>
      <c r="E21" s="23"/>
      <c r="F21" s="23"/>
      <c r="G21" s="25">
        <f>D21*E18/F18</f>
        <v>5.5555555555555552E-2</v>
      </c>
      <c r="H21" s="22">
        <f>G21*$O$1038</f>
        <v>0</v>
      </c>
    </row>
    <row r="22" spans="1:8" ht="15.75" x14ac:dyDescent="0.45">
      <c r="A22" s="28"/>
      <c r="B22" s="29"/>
      <c r="C22" s="29"/>
      <c r="D22" s="30"/>
      <c r="E22" s="30">
        <f>(6220+288)/45</f>
        <v>144.62222222222223</v>
      </c>
      <c r="F22" s="30"/>
      <c r="G22" s="30"/>
      <c r="H22" s="30"/>
    </row>
    <row r="23" spans="1:8" ht="31.5" x14ac:dyDescent="0.45">
      <c r="A23" s="33" t="s">
        <v>21</v>
      </c>
      <c r="B23" s="11" t="s">
        <v>22</v>
      </c>
      <c r="C23" s="12" t="s">
        <v>10</v>
      </c>
      <c r="D23" s="13">
        <v>2</v>
      </c>
      <c r="E23" s="14">
        <f>E18</f>
        <v>10</v>
      </c>
      <c r="F23" s="14">
        <f>E22</f>
        <v>144.62222222222223</v>
      </c>
      <c r="G23" s="16">
        <f>(D23+D24+D25+D26)*E23/F23</f>
        <v>1.175476336816226</v>
      </c>
      <c r="H23" s="17">
        <f>G23*$K$3</f>
        <v>17.044406883835276</v>
      </c>
    </row>
    <row r="24" spans="1:8" ht="31.5" x14ac:dyDescent="0.45">
      <c r="A24" s="34"/>
      <c r="B24" s="19"/>
      <c r="C24" s="12" t="s">
        <v>11</v>
      </c>
      <c r="D24" s="13">
        <v>12</v>
      </c>
      <c r="E24" s="14"/>
      <c r="F24" s="14"/>
      <c r="G24" s="36"/>
      <c r="H24" s="37"/>
    </row>
    <row r="25" spans="1:8" ht="15.75" x14ac:dyDescent="0.45">
      <c r="A25" s="34"/>
      <c r="B25" s="19"/>
      <c r="C25" s="12" t="s">
        <v>17</v>
      </c>
      <c r="D25" s="13">
        <v>2</v>
      </c>
      <c r="E25" s="14"/>
      <c r="F25" s="14"/>
      <c r="G25" s="36"/>
      <c r="H25" s="37"/>
    </row>
    <row r="26" spans="1:8" ht="15.75" x14ac:dyDescent="0.45">
      <c r="A26" s="34"/>
      <c r="B26" s="19"/>
      <c r="C26" s="12" t="s">
        <v>23</v>
      </c>
      <c r="D26" s="13">
        <v>1</v>
      </c>
      <c r="E26" s="14"/>
      <c r="F26" s="14"/>
      <c r="G26" s="31"/>
      <c r="H26" s="32"/>
    </row>
    <row r="27" spans="1:8" ht="15.75" x14ac:dyDescent="0.45">
      <c r="A27" s="34"/>
      <c r="B27" s="19"/>
      <c r="C27" s="22" t="s">
        <v>24</v>
      </c>
      <c r="D27" s="22">
        <v>3</v>
      </c>
      <c r="E27" s="22">
        <f t="shared" ref="E27:F27" si="3">E23</f>
        <v>10</v>
      </c>
      <c r="F27" s="22">
        <f t="shared" si="3"/>
        <v>144.62222222222223</v>
      </c>
      <c r="G27" s="22">
        <f>D27*E27/F27</f>
        <v>0.20743700061462814</v>
      </c>
      <c r="H27" s="22">
        <f>G27*O$1035</f>
        <v>0</v>
      </c>
    </row>
    <row r="28" spans="1:8" ht="47.25" x14ac:dyDescent="0.45">
      <c r="A28" s="34"/>
      <c r="B28" s="19"/>
      <c r="C28" s="22" t="s">
        <v>25</v>
      </c>
      <c r="D28" s="22">
        <v>1</v>
      </c>
      <c r="E28" s="22"/>
      <c r="F28" s="22"/>
      <c r="G28" s="22">
        <f>D28*E27/F27</f>
        <v>6.9145666871542708E-2</v>
      </c>
      <c r="H28" s="22">
        <f>G28*O$1043</f>
        <v>0</v>
      </c>
    </row>
    <row r="29" spans="1:8" ht="31.5" x14ac:dyDescent="0.45">
      <c r="A29" s="34"/>
      <c r="B29" s="19"/>
      <c r="C29" s="22" t="s">
        <v>26</v>
      </c>
      <c r="D29" s="22">
        <v>1</v>
      </c>
      <c r="E29" s="22"/>
      <c r="F29" s="22"/>
      <c r="G29" s="22">
        <f>D29*E27/F27</f>
        <v>6.9145666871542708E-2</v>
      </c>
      <c r="H29" s="22">
        <f>G29*O$1031</f>
        <v>0</v>
      </c>
    </row>
    <row r="30" spans="1:8" ht="31.5" x14ac:dyDescent="0.45">
      <c r="A30" s="38"/>
      <c r="B30" s="27"/>
      <c r="C30" s="22" t="s">
        <v>27</v>
      </c>
      <c r="D30" s="22">
        <v>2</v>
      </c>
      <c r="E30" s="22"/>
      <c r="F30" s="22"/>
      <c r="G30" s="22">
        <f>D30*E27/F27</f>
        <v>0.13829133374308542</v>
      </c>
      <c r="H30" s="22">
        <f>G30*O$1042</f>
        <v>0</v>
      </c>
    </row>
    <row r="31" spans="1:8" ht="15.75" x14ac:dyDescent="0.45">
      <c r="A31" s="28"/>
      <c r="B31" s="29"/>
      <c r="C31" s="29"/>
      <c r="D31" s="30"/>
      <c r="E31" s="30"/>
      <c r="F31" s="30"/>
      <c r="G31" s="30"/>
      <c r="H31" s="30"/>
    </row>
    <row r="32" spans="1:8" ht="31.5" x14ac:dyDescent="0.45">
      <c r="A32" s="33" t="s">
        <v>28</v>
      </c>
      <c r="B32" s="11" t="s">
        <v>22</v>
      </c>
      <c r="C32" s="12" t="s">
        <v>10</v>
      </c>
      <c r="D32" s="13">
        <v>2</v>
      </c>
      <c r="E32" s="14">
        <f>E27</f>
        <v>10</v>
      </c>
      <c r="F32" s="14">
        <v>20</v>
      </c>
      <c r="G32" s="16">
        <f>(D32+D33+D34+D35)*E32/F32</f>
        <v>15</v>
      </c>
      <c r="H32" s="17">
        <f>G32*$K$3</f>
        <v>217.5</v>
      </c>
    </row>
    <row r="33" spans="1:8" ht="31.5" x14ac:dyDescent="0.45">
      <c r="A33" s="34"/>
      <c r="B33" s="19"/>
      <c r="C33" s="12" t="s">
        <v>11</v>
      </c>
      <c r="D33" s="13">
        <v>25</v>
      </c>
      <c r="E33" s="14"/>
      <c r="F33" s="14"/>
      <c r="G33" s="36"/>
      <c r="H33" s="37"/>
    </row>
    <row r="34" spans="1:8" ht="15.75" x14ac:dyDescent="0.45">
      <c r="A34" s="34"/>
      <c r="B34" s="19"/>
      <c r="C34" s="12" t="s">
        <v>17</v>
      </c>
      <c r="D34" s="13">
        <v>2</v>
      </c>
      <c r="E34" s="14"/>
      <c r="F34" s="14"/>
      <c r="G34" s="36"/>
      <c r="H34" s="37"/>
    </row>
    <row r="35" spans="1:8" ht="15.75" x14ac:dyDescent="0.45">
      <c r="A35" s="34"/>
      <c r="B35" s="19"/>
      <c r="C35" s="12" t="s">
        <v>23</v>
      </c>
      <c r="D35" s="13">
        <v>1</v>
      </c>
      <c r="E35" s="14"/>
      <c r="F35" s="14"/>
      <c r="G35" s="31"/>
      <c r="H35" s="32"/>
    </row>
    <row r="36" spans="1:8" ht="15.75" x14ac:dyDescent="0.45">
      <c r="A36" s="34"/>
      <c r="B36" s="19"/>
      <c r="C36" s="22" t="s">
        <v>24</v>
      </c>
      <c r="D36" s="22">
        <v>4</v>
      </c>
      <c r="E36" s="22">
        <f t="shared" ref="E36:F36" si="4">E32</f>
        <v>10</v>
      </c>
      <c r="F36" s="22">
        <f t="shared" si="4"/>
        <v>20</v>
      </c>
      <c r="G36" s="22">
        <f>D36*E36/F36</f>
        <v>2</v>
      </c>
      <c r="H36" s="22">
        <f>G36*O$1035</f>
        <v>0</v>
      </c>
    </row>
    <row r="37" spans="1:8" ht="47.25" x14ac:dyDescent="0.45">
      <c r="A37" s="34"/>
      <c r="B37" s="19"/>
      <c r="C37" s="22" t="s">
        <v>25</v>
      </c>
      <c r="D37" s="22">
        <v>2</v>
      </c>
      <c r="E37" s="22"/>
      <c r="F37" s="22"/>
      <c r="G37" s="22">
        <f>D37*E36/F36</f>
        <v>1</v>
      </c>
      <c r="H37" s="22">
        <f>G37*O$1043</f>
        <v>0</v>
      </c>
    </row>
    <row r="38" spans="1:8" ht="31.5" x14ac:dyDescent="0.45">
      <c r="A38" s="34"/>
      <c r="B38" s="19"/>
      <c r="C38" s="22" t="s">
        <v>26</v>
      </c>
      <c r="D38" s="22">
        <v>1</v>
      </c>
      <c r="E38" s="22"/>
      <c r="F38" s="22"/>
      <c r="G38" s="22">
        <f>D38*E36/F36</f>
        <v>0.5</v>
      </c>
      <c r="H38" s="22">
        <f>G38*O$1031</f>
        <v>0</v>
      </c>
    </row>
    <row r="39" spans="1:8" ht="31.5" x14ac:dyDescent="0.45">
      <c r="A39" s="38"/>
      <c r="B39" s="27"/>
      <c r="C39" s="22" t="s">
        <v>27</v>
      </c>
      <c r="D39" s="22">
        <v>1</v>
      </c>
      <c r="E39" s="22"/>
      <c r="F39" s="22"/>
      <c r="G39" s="22">
        <f>D39*E36/F36</f>
        <v>0.5</v>
      </c>
      <c r="H39" s="22">
        <f>G39*O$1042</f>
        <v>0</v>
      </c>
    </row>
    <row r="40" spans="1:8" ht="15.75" x14ac:dyDescent="0.45">
      <c r="A40" s="28"/>
      <c r="B40" s="29"/>
      <c r="C40" s="29"/>
      <c r="D40" s="30"/>
      <c r="E40" s="39">
        <f>(360000+255000)/150</f>
        <v>4100</v>
      </c>
      <c r="F40" s="39">
        <f>9*4</f>
        <v>36</v>
      </c>
      <c r="G40" s="39">
        <f>E40/F40</f>
        <v>113.88888888888889</v>
      </c>
      <c r="H40" s="39">
        <f>G40*4</f>
        <v>455.55555555555554</v>
      </c>
    </row>
    <row r="41" spans="1:8" ht="47.25" x14ac:dyDescent="0.45">
      <c r="A41" s="40" t="s">
        <v>29</v>
      </c>
      <c r="B41" s="11" t="s">
        <v>22</v>
      </c>
      <c r="C41" s="12" t="s">
        <v>10</v>
      </c>
      <c r="D41" s="13">
        <v>3</v>
      </c>
      <c r="E41" s="14">
        <f>E36</f>
        <v>10</v>
      </c>
      <c r="F41" s="14">
        <f>E40</f>
        <v>4100</v>
      </c>
      <c r="G41" s="16">
        <f>(D41+D42+D43+D45+D44)*E41/F41</f>
        <v>0.20243902439024392</v>
      </c>
      <c r="H41" s="17">
        <f>G41*$K$3</f>
        <v>2.9353658536585368</v>
      </c>
    </row>
    <row r="42" spans="1:8" ht="31.5" x14ac:dyDescent="0.45">
      <c r="A42" s="41"/>
      <c r="B42" s="19"/>
      <c r="C42" s="12" t="s">
        <v>10</v>
      </c>
      <c r="D42" s="13">
        <v>60</v>
      </c>
      <c r="E42" s="14"/>
      <c r="F42" s="14"/>
      <c r="G42" s="36"/>
      <c r="H42" s="37"/>
    </row>
    <row r="43" spans="1:8" ht="15.75" x14ac:dyDescent="0.45">
      <c r="A43" s="41"/>
      <c r="B43" s="19"/>
      <c r="C43" s="12" t="s">
        <v>17</v>
      </c>
      <c r="D43" s="13">
        <v>6</v>
      </c>
      <c r="E43" s="14"/>
      <c r="F43" s="14"/>
      <c r="G43" s="36"/>
      <c r="H43" s="37"/>
    </row>
    <row r="44" spans="1:8" ht="15.75" x14ac:dyDescent="0.45">
      <c r="A44" s="41"/>
      <c r="B44" s="19"/>
      <c r="C44" s="12" t="s">
        <v>30</v>
      </c>
      <c r="D44" s="13">
        <f>D43*2</f>
        <v>12</v>
      </c>
      <c r="E44" s="14"/>
      <c r="F44" s="14"/>
      <c r="G44" s="36"/>
      <c r="H44" s="37"/>
    </row>
    <row r="45" spans="1:8" ht="15.75" x14ac:dyDescent="0.45">
      <c r="A45" s="41"/>
      <c r="B45" s="19"/>
      <c r="C45" s="12" t="s">
        <v>23</v>
      </c>
      <c r="D45" s="13">
        <v>2</v>
      </c>
      <c r="E45" s="14"/>
      <c r="F45" s="14"/>
      <c r="G45" s="31"/>
      <c r="H45" s="32"/>
    </row>
    <row r="46" spans="1:8" ht="31.5" x14ac:dyDescent="0.45">
      <c r="A46" s="41"/>
      <c r="B46" s="19"/>
      <c r="C46" s="22" t="s">
        <v>31</v>
      </c>
      <c r="D46" s="22">
        <f>6*4</f>
        <v>24</v>
      </c>
      <c r="E46" s="22">
        <f t="shared" ref="E46:F46" si="5">E41</f>
        <v>10</v>
      </c>
      <c r="F46" s="22">
        <f t="shared" si="5"/>
        <v>4100</v>
      </c>
      <c r="G46" s="22">
        <f>D46*E46/F46</f>
        <v>5.8536585365853662E-2</v>
      </c>
      <c r="H46" s="22">
        <f>G46*O$1035</f>
        <v>0</v>
      </c>
    </row>
    <row r="47" spans="1:8" ht="47.25" x14ac:dyDescent="0.45">
      <c r="A47" s="41"/>
      <c r="B47" s="19"/>
      <c r="C47" s="22" t="s">
        <v>32</v>
      </c>
      <c r="D47" s="22">
        <v>6</v>
      </c>
      <c r="E47" s="22"/>
      <c r="F47" s="22"/>
      <c r="G47" s="22">
        <f>D47*E46/F46</f>
        <v>1.4634146341463415E-2</v>
      </c>
      <c r="H47" s="22">
        <f>G47*O$1040</f>
        <v>0</v>
      </c>
    </row>
    <row r="48" spans="1:8" ht="31.5" x14ac:dyDescent="0.45">
      <c r="A48" s="41"/>
      <c r="B48" s="19"/>
      <c r="C48" s="22" t="s">
        <v>26</v>
      </c>
      <c r="D48" s="22">
        <v>4</v>
      </c>
      <c r="E48" s="22"/>
      <c r="F48" s="22"/>
      <c r="G48" s="22">
        <f>D48*E46/F46</f>
        <v>9.7560975609756097E-3</v>
      </c>
      <c r="H48" s="22">
        <f>G48*O$1031</f>
        <v>0</v>
      </c>
    </row>
    <row r="49" spans="1:8" ht="31.5" x14ac:dyDescent="0.45">
      <c r="A49" s="42"/>
      <c r="B49" s="27"/>
      <c r="C49" s="22" t="s">
        <v>33</v>
      </c>
      <c r="D49" s="22">
        <v>0</v>
      </c>
      <c r="E49" s="22"/>
      <c r="F49" s="22"/>
      <c r="G49" s="22">
        <f>D49*E46/F46</f>
        <v>0</v>
      </c>
      <c r="H49" s="22">
        <f>G49*O$1042</f>
        <v>0</v>
      </c>
    </row>
    <row r="50" spans="1:8" ht="15.75" x14ac:dyDescent="0.45">
      <c r="A50" s="28"/>
      <c r="B50" s="29"/>
      <c r="C50" s="29"/>
      <c r="D50" s="30"/>
      <c r="E50" s="30"/>
      <c r="F50" s="30"/>
      <c r="G50" s="30"/>
      <c r="H50" s="30"/>
    </row>
    <row r="51" spans="1:8" ht="31.5" x14ac:dyDescent="0.45">
      <c r="A51" s="33" t="s">
        <v>34</v>
      </c>
      <c r="B51" s="11" t="s">
        <v>22</v>
      </c>
      <c r="C51" s="12" t="s">
        <v>10</v>
      </c>
      <c r="D51" s="13">
        <v>10</v>
      </c>
      <c r="E51" s="14">
        <f>E46</f>
        <v>10</v>
      </c>
      <c r="F51" s="14">
        <v>120</v>
      </c>
      <c r="G51" s="16">
        <f>(D51+D52+D53+D55+D54)*E51/F51</f>
        <v>5</v>
      </c>
      <c r="H51" s="17">
        <f>G51*$K$3</f>
        <v>72.5</v>
      </c>
    </row>
    <row r="52" spans="1:8" ht="31.5" x14ac:dyDescent="0.45">
      <c r="A52" s="34"/>
      <c r="B52" s="19"/>
      <c r="C52" s="12" t="s">
        <v>11</v>
      </c>
      <c r="D52" s="13">
        <v>40</v>
      </c>
      <c r="E52" s="14"/>
      <c r="F52" s="14"/>
      <c r="G52" s="36"/>
      <c r="H52" s="37"/>
    </row>
    <row r="53" spans="1:8" ht="15.75" x14ac:dyDescent="0.45">
      <c r="A53" s="34"/>
      <c r="B53" s="19"/>
      <c r="C53" s="12" t="s">
        <v>17</v>
      </c>
      <c r="D53" s="13">
        <v>4</v>
      </c>
      <c r="E53" s="14"/>
      <c r="F53" s="14"/>
      <c r="G53" s="36"/>
      <c r="H53" s="37"/>
    </row>
    <row r="54" spans="1:8" ht="15.75" x14ac:dyDescent="0.45">
      <c r="A54" s="34"/>
      <c r="B54" s="19"/>
      <c r="C54" s="12" t="s">
        <v>30</v>
      </c>
      <c r="D54" s="13">
        <v>5</v>
      </c>
      <c r="E54" s="14"/>
      <c r="F54" s="14"/>
      <c r="G54" s="36"/>
      <c r="H54" s="37"/>
    </row>
    <row r="55" spans="1:8" ht="15.75" x14ac:dyDescent="0.45">
      <c r="A55" s="34"/>
      <c r="B55" s="19"/>
      <c r="C55" s="12" t="s">
        <v>23</v>
      </c>
      <c r="D55" s="13">
        <v>1</v>
      </c>
      <c r="E55" s="14"/>
      <c r="F55" s="14"/>
      <c r="G55" s="31"/>
      <c r="H55" s="32"/>
    </row>
    <row r="56" spans="1:8" ht="15.75" x14ac:dyDescent="0.45">
      <c r="A56" s="34"/>
      <c r="B56" s="19"/>
      <c r="C56" s="22" t="s">
        <v>24</v>
      </c>
      <c r="D56" s="22">
        <v>7</v>
      </c>
      <c r="E56" s="22">
        <f t="shared" ref="E56:F56" si="6">E51</f>
        <v>10</v>
      </c>
      <c r="F56" s="22">
        <f t="shared" si="6"/>
        <v>120</v>
      </c>
      <c r="G56" s="22">
        <f>D56*E56/F56</f>
        <v>0.58333333333333337</v>
      </c>
      <c r="H56" s="22">
        <f>G56*O$1035</f>
        <v>0</v>
      </c>
    </row>
    <row r="57" spans="1:8" ht="47.25" x14ac:dyDescent="0.45">
      <c r="A57" s="34"/>
      <c r="B57" s="19"/>
      <c r="C57" s="22" t="s">
        <v>32</v>
      </c>
      <c r="D57" s="22">
        <v>4</v>
      </c>
      <c r="E57" s="22"/>
      <c r="F57" s="22"/>
      <c r="G57" s="22">
        <f>D57*E56/F56</f>
        <v>0.33333333333333331</v>
      </c>
      <c r="H57" s="22">
        <f>G57*O$1040</f>
        <v>0</v>
      </c>
    </row>
    <row r="58" spans="1:8" ht="31.5" x14ac:dyDescent="0.45">
      <c r="A58" s="34"/>
      <c r="B58" s="19"/>
      <c r="C58" s="22" t="s">
        <v>26</v>
      </c>
      <c r="D58" s="22">
        <v>4</v>
      </c>
      <c r="E58" s="22"/>
      <c r="F58" s="22"/>
      <c r="G58" s="22">
        <f>D58*E56/F56</f>
        <v>0.33333333333333331</v>
      </c>
      <c r="H58" s="22">
        <f>G58*O$1031</f>
        <v>0</v>
      </c>
    </row>
    <row r="59" spans="1:8" ht="31.5" x14ac:dyDescent="0.45">
      <c r="A59" s="38"/>
      <c r="B59" s="27"/>
      <c r="C59" s="22" t="s">
        <v>33</v>
      </c>
      <c r="D59" s="22"/>
      <c r="E59" s="22"/>
      <c r="F59" s="22"/>
      <c r="G59" s="22">
        <f>D59*E56/F56</f>
        <v>0</v>
      </c>
      <c r="H59" s="22">
        <f>G59*O$1042</f>
        <v>0</v>
      </c>
    </row>
    <row r="60" spans="1:8" ht="15.75" x14ac:dyDescent="0.45">
      <c r="A60" s="28"/>
      <c r="B60" s="29"/>
      <c r="C60" s="29"/>
      <c r="D60" s="30"/>
      <c r="E60" s="30"/>
      <c r="F60" s="30"/>
      <c r="G60" s="30"/>
      <c r="H60" s="30"/>
    </row>
    <row r="61" spans="1:8" ht="15.75" x14ac:dyDescent="0.45">
      <c r="A61" s="43"/>
      <c r="B61" s="1"/>
      <c r="C61" s="1"/>
      <c r="D61" s="44"/>
      <c r="E61" s="44"/>
      <c r="F61" s="44"/>
      <c r="G61" s="45"/>
      <c r="H61" s="44"/>
    </row>
    <row r="62" spans="1:8" ht="31.5" x14ac:dyDescent="0.45">
      <c r="A62" s="46" t="s">
        <v>35</v>
      </c>
      <c r="B62" s="11" t="s">
        <v>9</v>
      </c>
      <c r="C62" s="12" t="s">
        <v>10</v>
      </c>
      <c r="D62" s="13">
        <v>1</v>
      </c>
      <c r="E62" s="14">
        <f>E9</f>
        <v>10</v>
      </c>
      <c r="F62" s="15">
        <f>16*4</f>
        <v>64</v>
      </c>
      <c r="G62" s="16">
        <f>(D62+D63)*E62/F62</f>
        <v>0.3125</v>
      </c>
      <c r="H62" s="17">
        <f>G62*$K$3</f>
        <v>4.53125</v>
      </c>
    </row>
    <row r="63" spans="1:8" ht="31.5" x14ac:dyDescent="0.45">
      <c r="A63" s="47"/>
      <c r="B63" s="19"/>
      <c r="C63" s="12" t="s">
        <v>11</v>
      </c>
      <c r="D63" s="13">
        <v>1</v>
      </c>
      <c r="E63" s="14"/>
      <c r="F63" s="15"/>
      <c r="G63" s="31"/>
      <c r="H63" s="32"/>
    </row>
    <row r="64" spans="1:8" ht="31.5" x14ac:dyDescent="0.45">
      <c r="A64" s="47"/>
      <c r="B64" s="19"/>
      <c r="C64" s="21" t="s">
        <v>12</v>
      </c>
      <c r="D64" s="22">
        <v>0.2</v>
      </c>
      <c r="E64" s="23">
        <f t="shared" ref="E64:F64" si="7">E62</f>
        <v>10</v>
      </c>
      <c r="F64" s="24">
        <f t="shared" si="7"/>
        <v>64</v>
      </c>
      <c r="G64" s="25">
        <f t="shared" ref="G64:G65" si="8">D64*E64/F64</f>
        <v>3.125E-2</v>
      </c>
      <c r="H64" s="22">
        <f>G64*O$1022</f>
        <v>0</v>
      </c>
    </row>
    <row r="65" spans="1:8" ht="47.25" x14ac:dyDescent="0.45">
      <c r="A65" s="48"/>
      <c r="B65" s="27"/>
      <c r="C65" s="21" t="s">
        <v>36</v>
      </c>
      <c r="D65" s="22">
        <v>1</v>
      </c>
      <c r="E65" s="23">
        <f t="shared" ref="E65:F65" si="9">E62</f>
        <v>10</v>
      </c>
      <c r="F65" s="24">
        <f t="shared" si="9"/>
        <v>64</v>
      </c>
      <c r="G65" s="25">
        <f t="shared" si="8"/>
        <v>0.15625</v>
      </c>
      <c r="H65" s="22">
        <f>G65*$O$1029</f>
        <v>0</v>
      </c>
    </row>
    <row r="66" spans="1:8" ht="15.75" x14ac:dyDescent="0.45">
      <c r="A66" s="43"/>
      <c r="B66" s="1"/>
      <c r="C66" s="1"/>
      <c r="D66" s="44"/>
      <c r="E66" s="44"/>
      <c r="F66" s="44"/>
      <c r="G66" s="45"/>
      <c r="H66" s="44"/>
    </row>
    <row r="67" spans="1:8" ht="31.5" x14ac:dyDescent="0.45">
      <c r="A67" s="46" t="s">
        <v>37</v>
      </c>
      <c r="B67" s="11" t="s">
        <v>9</v>
      </c>
      <c r="C67" s="12" t="s">
        <v>10</v>
      </c>
      <c r="D67" s="13">
        <v>1</v>
      </c>
      <c r="E67" s="14">
        <f>E62</f>
        <v>10</v>
      </c>
      <c r="F67" s="15">
        <f>4*16</f>
        <v>64</v>
      </c>
      <c r="G67" s="16">
        <f>(D67+D68)*E67/F67</f>
        <v>0.15625</v>
      </c>
      <c r="H67" s="17">
        <f>G67*$K$3</f>
        <v>2.265625</v>
      </c>
    </row>
    <row r="68" spans="1:8" ht="31.5" x14ac:dyDescent="0.45">
      <c r="A68" s="47"/>
      <c r="B68" s="19"/>
      <c r="C68" s="12" t="s">
        <v>11</v>
      </c>
      <c r="D68" s="13"/>
      <c r="E68" s="14"/>
      <c r="F68" s="15"/>
      <c r="G68" s="31"/>
      <c r="H68" s="32"/>
    </row>
    <row r="69" spans="1:8" ht="31.5" x14ac:dyDescent="0.45">
      <c r="A69" s="47"/>
      <c r="B69" s="19"/>
      <c r="C69" s="21" t="s">
        <v>12</v>
      </c>
      <c r="D69" s="22">
        <v>0.2</v>
      </c>
      <c r="E69" s="14"/>
      <c r="F69" s="15"/>
      <c r="G69" s="25">
        <f>D69*E67/F67</f>
        <v>3.125E-2</v>
      </c>
      <c r="H69" s="22">
        <f>G69*O$1022</f>
        <v>0</v>
      </c>
    </row>
    <row r="70" spans="1:8" ht="47.25" x14ac:dyDescent="0.45">
      <c r="A70" s="48"/>
      <c r="B70" s="27"/>
      <c r="C70" s="21" t="s">
        <v>36</v>
      </c>
      <c r="D70" s="22">
        <v>1</v>
      </c>
      <c r="E70" s="23">
        <f t="shared" ref="E70:F70" si="10">E67</f>
        <v>10</v>
      </c>
      <c r="F70" s="24">
        <f t="shared" si="10"/>
        <v>64</v>
      </c>
      <c r="G70" s="25">
        <f>D70*E70/F70</f>
        <v>0.15625</v>
      </c>
      <c r="H70" s="22">
        <f>G70*$O$1029</f>
        <v>0</v>
      </c>
    </row>
    <row r="71" spans="1:8" ht="15.75" x14ac:dyDescent="0.45">
      <c r="A71" s="43"/>
      <c r="B71" s="1"/>
      <c r="C71" s="1"/>
      <c r="D71" s="44"/>
      <c r="E71" s="44"/>
      <c r="F71" s="44"/>
      <c r="G71" s="45"/>
      <c r="H71" s="44"/>
    </row>
    <row r="72" spans="1:8" ht="31.5" x14ac:dyDescent="0.45">
      <c r="A72" s="46" t="s">
        <v>38</v>
      </c>
      <c r="B72" s="11" t="s">
        <v>9</v>
      </c>
      <c r="C72" s="12" t="s">
        <v>10</v>
      </c>
      <c r="D72" s="13">
        <v>1</v>
      </c>
      <c r="E72" s="14">
        <f>E67</f>
        <v>10</v>
      </c>
      <c r="F72" s="15">
        <f>4*16*2</f>
        <v>128</v>
      </c>
      <c r="G72" s="16">
        <f>(D72+D73)*E72/F72</f>
        <v>0.15625</v>
      </c>
      <c r="H72" s="17">
        <f>G72*$K$3</f>
        <v>2.265625</v>
      </c>
    </row>
    <row r="73" spans="1:8" ht="31.5" x14ac:dyDescent="0.45">
      <c r="A73" s="47"/>
      <c r="B73" s="19"/>
      <c r="C73" s="12" t="s">
        <v>11</v>
      </c>
      <c r="D73" s="13">
        <v>1</v>
      </c>
      <c r="E73" s="14"/>
      <c r="F73" s="15"/>
      <c r="G73" s="31"/>
      <c r="H73" s="32"/>
    </row>
    <row r="74" spans="1:8" ht="63" x14ac:dyDescent="0.45">
      <c r="A74" s="47"/>
      <c r="B74" s="19"/>
      <c r="C74" s="21" t="s">
        <v>39</v>
      </c>
      <c r="D74" s="22">
        <v>2</v>
      </c>
      <c r="E74" s="23">
        <f t="shared" ref="E74:F74" si="11">E72</f>
        <v>10</v>
      </c>
      <c r="F74" s="24">
        <f t="shared" si="11"/>
        <v>128</v>
      </c>
      <c r="G74" s="25">
        <f>D74*E74/F74</f>
        <v>0.15625</v>
      </c>
      <c r="H74" s="22">
        <f>G74*$O$1038</f>
        <v>0</v>
      </c>
    </row>
    <row r="75" spans="1:8" ht="31.5" x14ac:dyDescent="0.45">
      <c r="A75" s="47"/>
      <c r="B75" s="19"/>
      <c r="C75" s="21" t="s">
        <v>12</v>
      </c>
      <c r="D75" s="22">
        <v>0.1</v>
      </c>
      <c r="E75" s="23"/>
      <c r="F75" s="24"/>
      <c r="G75" s="25">
        <f>D75*E72/F72</f>
        <v>7.8125E-3</v>
      </c>
      <c r="H75" s="22">
        <f>G75*O$1022</f>
        <v>0</v>
      </c>
    </row>
    <row r="76" spans="1:8" ht="31.5" x14ac:dyDescent="0.45">
      <c r="A76" s="48"/>
      <c r="B76" s="27"/>
      <c r="C76" s="21" t="s">
        <v>40</v>
      </c>
      <c r="D76" s="22">
        <v>0.5</v>
      </c>
      <c r="E76" s="23"/>
      <c r="F76" s="24"/>
      <c r="G76" s="25">
        <f>D76*E74/F74</f>
        <v>3.90625E-2</v>
      </c>
      <c r="H76" s="22">
        <f>G76*O$1026</f>
        <v>0</v>
      </c>
    </row>
    <row r="77" spans="1:8" ht="15.75" x14ac:dyDescent="0.45">
      <c r="A77" s="43"/>
      <c r="B77" s="1"/>
      <c r="C77" s="1"/>
      <c r="D77" s="44"/>
      <c r="E77" s="44"/>
      <c r="F77" s="44"/>
      <c r="G77" s="45"/>
      <c r="H77" s="44"/>
    </row>
    <row r="78" spans="1:8" ht="31.5" x14ac:dyDescent="0.45">
      <c r="A78" s="10" t="s">
        <v>41</v>
      </c>
      <c r="B78" s="10" t="s">
        <v>9</v>
      </c>
      <c r="C78" s="12" t="s">
        <v>10</v>
      </c>
      <c r="D78" s="13">
        <v>1</v>
      </c>
      <c r="E78" s="14">
        <f>E72</f>
        <v>10</v>
      </c>
      <c r="F78" s="14">
        <v>64</v>
      </c>
      <c r="G78" s="16">
        <f>(D78+D79)*E78/F78</f>
        <v>0.625</v>
      </c>
      <c r="H78" s="17">
        <f>G78*$K$3</f>
        <v>9.0625</v>
      </c>
    </row>
    <row r="79" spans="1:8" ht="31.5" x14ac:dyDescent="0.45">
      <c r="A79" s="18"/>
      <c r="B79" s="18"/>
      <c r="C79" s="12" t="s">
        <v>11</v>
      </c>
      <c r="D79" s="13">
        <v>3</v>
      </c>
      <c r="E79" s="14"/>
      <c r="F79" s="14"/>
      <c r="G79" s="31"/>
      <c r="H79" s="32"/>
    </row>
    <row r="80" spans="1:8" ht="63" x14ac:dyDescent="0.45">
      <c r="A80" s="18"/>
      <c r="B80" s="18"/>
      <c r="C80" s="21" t="s">
        <v>39</v>
      </c>
      <c r="D80" s="22">
        <v>0.3</v>
      </c>
      <c r="E80" s="23">
        <f t="shared" ref="E80:F80" si="12">E78</f>
        <v>10</v>
      </c>
      <c r="F80" s="23">
        <f t="shared" si="12"/>
        <v>64</v>
      </c>
      <c r="G80" s="25">
        <f>D80*E80/F80</f>
        <v>4.6875E-2</v>
      </c>
      <c r="H80" s="22">
        <f>G80*$O$1038</f>
        <v>0</v>
      </c>
    </row>
    <row r="81" spans="1:8" ht="78.75" x14ac:dyDescent="0.45">
      <c r="A81" s="18"/>
      <c r="B81" s="18"/>
      <c r="C81" s="21" t="s">
        <v>42</v>
      </c>
      <c r="D81" s="22">
        <v>0.3</v>
      </c>
      <c r="E81" s="23"/>
      <c r="F81" s="23"/>
      <c r="G81" s="25">
        <f>D81*E80/F80</f>
        <v>4.6875E-2</v>
      </c>
      <c r="H81" s="22">
        <f>G81*O$1031</f>
        <v>0</v>
      </c>
    </row>
    <row r="82" spans="1:8" ht="31.5" x14ac:dyDescent="0.45">
      <c r="A82" s="26"/>
      <c r="B82" s="26"/>
      <c r="C82" s="21" t="s">
        <v>43</v>
      </c>
      <c r="D82" s="22">
        <v>1</v>
      </c>
      <c r="E82" s="23"/>
      <c r="F82" s="23"/>
      <c r="G82" s="25">
        <f>D82*E80/F80</f>
        <v>0.15625</v>
      </c>
      <c r="H82" s="22">
        <f>G82*$O$1030</f>
        <v>0</v>
      </c>
    </row>
    <row r="83" spans="1:8" ht="15.75" x14ac:dyDescent="0.45">
      <c r="A83" s="43"/>
      <c r="B83" s="1"/>
      <c r="C83" s="1"/>
      <c r="D83" s="44"/>
      <c r="E83" s="44"/>
      <c r="F83" s="44"/>
      <c r="G83" s="45"/>
      <c r="H83" s="44"/>
    </row>
    <row r="84" spans="1:8" ht="31.5" x14ac:dyDescent="0.45">
      <c r="A84" s="10" t="s">
        <v>44</v>
      </c>
      <c r="B84" s="10" t="s">
        <v>9</v>
      </c>
      <c r="C84" s="12" t="s">
        <v>10</v>
      </c>
      <c r="D84" s="13">
        <v>2</v>
      </c>
      <c r="E84" s="14">
        <f>E80</f>
        <v>10</v>
      </c>
      <c r="F84" s="14">
        <v>120</v>
      </c>
      <c r="G84" s="16">
        <f>(D84+D85)*E84/F84</f>
        <v>0.5</v>
      </c>
      <c r="H84" s="17">
        <f>G84*$K$3</f>
        <v>7.25</v>
      </c>
    </row>
    <row r="85" spans="1:8" ht="31.5" x14ac:dyDescent="0.45">
      <c r="A85" s="18"/>
      <c r="B85" s="18"/>
      <c r="C85" s="12" t="s">
        <v>11</v>
      </c>
      <c r="D85" s="13">
        <v>4</v>
      </c>
      <c r="E85" s="14"/>
      <c r="F85" s="14"/>
      <c r="G85" s="31"/>
      <c r="H85" s="32"/>
    </row>
    <row r="86" spans="1:8" ht="63" x14ac:dyDescent="0.45">
      <c r="A86" s="18"/>
      <c r="B86" s="18"/>
      <c r="C86" s="21" t="s">
        <v>39</v>
      </c>
      <c r="D86" s="22">
        <v>0.5</v>
      </c>
      <c r="E86" s="23">
        <f t="shared" ref="E86:F86" si="13">E84</f>
        <v>10</v>
      </c>
      <c r="F86" s="23">
        <f t="shared" si="13"/>
        <v>120</v>
      </c>
      <c r="G86" s="25">
        <f>D86*E86/F86</f>
        <v>4.1666666666666664E-2</v>
      </c>
      <c r="H86" s="22">
        <f>G86*$O$1038</f>
        <v>0</v>
      </c>
    </row>
    <row r="87" spans="1:8" ht="78.75" x14ac:dyDescent="0.45">
      <c r="A87" s="18"/>
      <c r="B87" s="18"/>
      <c r="C87" s="21" t="s">
        <v>42</v>
      </c>
      <c r="D87" s="22">
        <v>1</v>
      </c>
      <c r="E87" s="23"/>
      <c r="F87" s="23"/>
      <c r="G87" s="25">
        <f>D87*E86/F86</f>
        <v>8.3333333333333329E-2</v>
      </c>
      <c r="H87" s="22">
        <f>G87*O$1031</f>
        <v>0</v>
      </c>
    </row>
    <row r="88" spans="1:8" ht="31.5" x14ac:dyDescent="0.45">
      <c r="A88" s="18"/>
      <c r="B88" s="18"/>
      <c r="C88" s="21" t="s">
        <v>45</v>
      </c>
      <c r="D88" s="22">
        <v>0.5</v>
      </c>
      <c r="E88" s="23"/>
      <c r="F88" s="23"/>
      <c r="G88" s="25">
        <f>D88*E86/F86</f>
        <v>4.1666666666666664E-2</v>
      </c>
      <c r="H88" s="22">
        <f>G88*O$1027</f>
        <v>0</v>
      </c>
    </row>
    <row r="89" spans="1:8" ht="31.5" x14ac:dyDescent="0.45">
      <c r="A89" s="26"/>
      <c r="B89" s="26"/>
      <c r="C89" s="21" t="s">
        <v>43</v>
      </c>
      <c r="D89" s="22">
        <v>1</v>
      </c>
      <c r="E89" s="23"/>
      <c r="F89" s="23"/>
      <c r="G89" s="25">
        <f>D89*E86/F86</f>
        <v>8.3333333333333329E-2</v>
      </c>
      <c r="H89" s="22">
        <f>G89*$O$1030</f>
        <v>0</v>
      </c>
    </row>
    <row r="90" spans="1:8" ht="15.75" x14ac:dyDescent="0.45">
      <c r="A90" s="43"/>
      <c r="B90" s="1"/>
      <c r="C90" s="1"/>
      <c r="D90" s="44"/>
      <c r="E90" s="44"/>
      <c r="F90" s="44"/>
      <c r="G90" s="45"/>
      <c r="H90" s="44"/>
    </row>
    <row r="91" spans="1:8" ht="31.5" x14ac:dyDescent="0.45">
      <c r="A91" s="10" t="s">
        <v>46</v>
      </c>
      <c r="B91" s="10" t="s">
        <v>47</v>
      </c>
      <c r="C91" s="12" t="s">
        <v>11</v>
      </c>
      <c r="D91" s="13">
        <v>2</v>
      </c>
      <c r="E91" s="14">
        <f>E78</f>
        <v>10</v>
      </c>
      <c r="F91" s="14">
        <v>300</v>
      </c>
      <c r="G91" s="16">
        <f>(D91+D92)*E91/F91</f>
        <v>0.1</v>
      </c>
      <c r="H91" s="17">
        <f>G91*$K$3</f>
        <v>1.4500000000000002</v>
      </c>
    </row>
    <row r="92" spans="1:8" ht="15.75" x14ac:dyDescent="0.45">
      <c r="A92" s="18"/>
      <c r="B92" s="18"/>
      <c r="C92" s="12" t="s">
        <v>48</v>
      </c>
      <c r="D92" s="13">
        <v>1</v>
      </c>
      <c r="E92" s="14"/>
      <c r="F92" s="14"/>
      <c r="G92" s="31"/>
      <c r="H92" s="32"/>
    </row>
    <row r="93" spans="1:8" ht="15.75" x14ac:dyDescent="0.45">
      <c r="A93" s="26"/>
      <c r="B93" s="26"/>
      <c r="C93" s="21" t="s">
        <v>49</v>
      </c>
      <c r="D93" s="22">
        <v>0.1</v>
      </c>
      <c r="E93" s="23">
        <f>E91</f>
        <v>10</v>
      </c>
      <c r="F93" s="23">
        <f>F91*5</f>
        <v>1500</v>
      </c>
      <c r="G93" s="25">
        <f>D93*E93/F93</f>
        <v>6.6666666666666664E-4</v>
      </c>
      <c r="H93" s="22">
        <f>G93*$O$1039</f>
        <v>0</v>
      </c>
    </row>
    <row r="94" spans="1:8" ht="15.75" x14ac:dyDescent="0.45">
      <c r="A94" s="43"/>
      <c r="B94" s="1"/>
      <c r="C94" s="1"/>
      <c r="D94" s="44"/>
      <c r="E94" s="44"/>
      <c r="F94" s="44"/>
      <c r="G94" s="45"/>
      <c r="H94" s="44"/>
    </row>
    <row r="95" spans="1:8" ht="31.5" x14ac:dyDescent="0.45">
      <c r="A95" s="10" t="s">
        <v>50</v>
      </c>
      <c r="B95" s="10" t="s">
        <v>22</v>
      </c>
      <c r="C95" s="12" t="s">
        <v>11</v>
      </c>
      <c r="D95" s="13">
        <v>3</v>
      </c>
      <c r="E95" s="14">
        <f>E91</f>
        <v>10</v>
      </c>
      <c r="F95" s="14">
        <v>1000</v>
      </c>
      <c r="G95" s="16">
        <f>(D95+D96)*E95/F95</f>
        <v>0.04</v>
      </c>
      <c r="H95" s="17">
        <f>G95*$K$3</f>
        <v>0.57999999999999996</v>
      </c>
    </row>
    <row r="96" spans="1:8" ht="15.75" x14ac:dyDescent="0.45">
      <c r="A96" s="18"/>
      <c r="B96" s="18"/>
      <c r="C96" s="12" t="s">
        <v>48</v>
      </c>
      <c r="D96" s="13">
        <v>1</v>
      </c>
      <c r="E96" s="14"/>
      <c r="F96" s="14"/>
      <c r="G96" s="31"/>
      <c r="H96" s="32"/>
    </row>
    <row r="97" spans="1:8" ht="15.75" x14ac:dyDescent="0.45">
      <c r="A97" s="26"/>
      <c r="B97" s="26"/>
      <c r="C97" s="21" t="s">
        <v>49</v>
      </c>
      <c r="D97" s="22">
        <v>0.1</v>
      </c>
      <c r="E97" s="23">
        <f t="shared" ref="E97:F97" si="14">E95</f>
        <v>10</v>
      </c>
      <c r="F97" s="23">
        <f t="shared" si="14"/>
        <v>1000</v>
      </c>
      <c r="G97" s="25">
        <f>D97*E97/F97</f>
        <v>1E-3</v>
      </c>
      <c r="H97" s="22">
        <f>G97*$O$1039</f>
        <v>0</v>
      </c>
    </row>
    <row r="98" spans="1:8" ht="15.75" x14ac:dyDescent="0.45">
      <c r="A98" s="43"/>
      <c r="B98" s="1"/>
      <c r="C98" s="1"/>
      <c r="D98" s="44"/>
      <c r="E98" s="44"/>
      <c r="F98" s="44"/>
      <c r="G98" s="45"/>
      <c r="H98" s="44"/>
    </row>
    <row r="99" spans="1:8" ht="31.5" x14ac:dyDescent="0.45">
      <c r="A99" s="49" t="s">
        <v>51</v>
      </c>
      <c r="B99" s="10" t="s">
        <v>9</v>
      </c>
      <c r="C99" s="12" t="s">
        <v>10</v>
      </c>
      <c r="D99" s="13">
        <v>1</v>
      </c>
      <c r="E99" s="14">
        <f>E91</f>
        <v>10</v>
      </c>
      <c r="F99" s="14">
        <v>120</v>
      </c>
      <c r="G99" s="16">
        <f>(D99+D100)*E99/F99</f>
        <v>0.41666666666666669</v>
      </c>
      <c r="H99" s="17">
        <f>G99*$K$3</f>
        <v>6.041666666666667</v>
      </c>
    </row>
    <row r="100" spans="1:8" ht="31.5" x14ac:dyDescent="0.45">
      <c r="A100" s="50"/>
      <c r="B100" s="18"/>
      <c r="C100" s="12" t="s">
        <v>11</v>
      </c>
      <c r="D100" s="13">
        <v>4</v>
      </c>
      <c r="E100" s="14"/>
      <c r="F100" s="14"/>
      <c r="G100" s="31"/>
      <c r="H100" s="32"/>
    </row>
    <row r="101" spans="1:8" ht="31.5" x14ac:dyDescent="0.45">
      <c r="A101" s="50"/>
      <c r="B101" s="18"/>
      <c r="C101" s="21" t="s">
        <v>52</v>
      </c>
      <c r="D101" s="22">
        <v>0.5</v>
      </c>
      <c r="E101" s="51">
        <f t="shared" ref="E101:F101" si="15">E99</f>
        <v>10</v>
      </c>
      <c r="F101" s="23">
        <f t="shared" si="15"/>
        <v>120</v>
      </c>
      <c r="G101" s="25">
        <f>D101*E101/F101</f>
        <v>4.1666666666666664E-2</v>
      </c>
      <c r="H101" s="22">
        <f>G101*$O$1026</f>
        <v>0</v>
      </c>
    </row>
    <row r="102" spans="1:8" ht="31.5" x14ac:dyDescent="0.45">
      <c r="A102" s="50"/>
      <c r="B102" s="18"/>
      <c r="C102" s="21" t="s">
        <v>53</v>
      </c>
      <c r="D102" s="22">
        <v>0.5</v>
      </c>
      <c r="E102" s="52"/>
      <c r="F102" s="23"/>
      <c r="G102" s="25">
        <f>D102*E101/F101</f>
        <v>4.1666666666666664E-2</v>
      </c>
      <c r="H102" s="22">
        <f>G102*$O$1029</f>
        <v>0</v>
      </c>
    </row>
    <row r="103" spans="1:8" ht="31.5" x14ac:dyDescent="0.45">
      <c r="A103" s="50"/>
      <c r="B103" s="18"/>
      <c r="C103" s="21" t="s">
        <v>12</v>
      </c>
      <c r="D103" s="22">
        <v>0.2</v>
      </c>
      <c r="E103" s="52"/>
      <c r="F103" s="23"/>
      <c r="G103" s="25">
        <f>D103*E101/F101</f>
        <v>1.6666666666666666E-2</v>
      </c>
      <c r="H103" s="22">
        <f>G103*O$1022</f>
        <v>0</v>
      </c>
    </row>
    <row r="104" spans="1:8" ht="63" x14ac:dyDescent="0.45">
      <c r="A104" s="53"/>
      <c r="B104" s="26"/>
      <c r="C104" s="21" t="s">
        <v>54</v>
      </c>
      <c r="D104" s="22">
        <v>0.2</v>
      </c>
      <c r="E104" s="52"/>
      <c r="F104" s="23"/>
      <c r="G104" s="25">
        <f>D104*E101/F101</f>
        <v>1.6666666666666666E-2</v>
      </c>
      <c r="H104" s="22">
        <f>G104*$O$1038</f>
        <v>0</v>
      </c>
    </row>
    <row r="105" spans="1:8" ht="78.75" x14ac:dyDescent="0.45">
      <c r="A105" s="43"/>
      <c r="B105" s="1"/>
      <c r="C105" s="54" t="s">
        <v>55</v>
      </c>
      <c r="D105" s="22">
        <v>1</v>
      </c>
      <c r="E105" s="52"/>
      <c r="F105" s="55"/>
      <c r="G105" s="25">
        <f>D105*E101/F101</f>
        <v>8.3333333333333329E-2</v>
      </c>
      <c r="H105" s="22">
        <f>G105*$O$1030</f>
        <v>0</v>
      </c>
    </row>
    <row r="106" spans="1:8" ht="15.75" x14ac:dyDescent="0.45">
      <c r="A106" s="43"/>
      <c r="B106" s="1"/>
      <c r="C106" s="1"/>
      <c r="D106" s="44"/>
      <c r="E106" s="44"/>
      <c r="F106" s="44"/>
      <c r="G106" s="45"/>
      <c r="H106" s="44"/>
    </row>
    <row r="107" spans="1:8" ht="31.5" x14ac:dyDescent="0.45">
      <c r="A107" s="10" t="s">
        <v>56</v>
      </c>
      <c r="B107" s="10" t="s">
        <v>9</v>
      </c>
      <c r="C107" s="12" t="s">
        <v>10</v>
      </c>
      <c r="D107" s="13">
        <v>1</v>
      </c>
      <c r="E107" s="14">
        <f>E99</f>
        <v>10</v>
      </c>
      <c r="F107" s="14">
        <v>150</v>
      </c>
      <c r="G107" s="16">
        <f>(D107+D108)*E107/F107</f>
        <v>0.33333333333333331</v>
      </c>
      <c r="H107" s="17">
        <f>G107*$K$3</f>
        <v>4.833333333333333</v>
      </c>
    </row>
    <row r="108" spans="1:8" ht="31.5" x14ac:dyDescent="0.45">
      <c r="A108" s="18"/>
      <c r="B108" s="18"/>
      <c r="C108" s="12" t="s">
        <v>11</v>
      </c>
      <c r="D108" s="13">
        <v>4</v>
      </c>
      <c r="E108" s="14"/>
      <c r="F108" s="14"/>
      <c r="G108" s="31"/>
      <c r="H108" s="32"/>
    </row>
    <row r="109" spans="1:8" ht="47.25" x14ac:dyDescent="0.45">
      <c r="A109" s="18"/>
      <c r="B109" s="18"/>
      <c r="C109" s="21" t="s">
        <v>36</v>
      </c>
      <c r="D109" s="22">
        <v>0.5</v>
      </c>
      <c r="E109" s="23">
        <f t="shared" ref="E109:F109" si="16">E107</f>
        <v>10</v>
      </c>
      <c r="F109" s="23">
        <f t="shared" si="16"/>
        <v>150</v>
      </c>
      <c r="G109" s="25">
        <f>D109*E109/F109</f>
        <v>3.3333333333333333E-2</v>
      </c>
      <c r="H109" s="22">
        <f>G109*$O$1029</f>
        <v>0</v>
      </c>
    </row>
    <row r="110" spans="1:8" ht="31.5" x14ac:dyDescent="0.45">
      <c r="A110" s="18"/>
      <c r="B110" s="18"/>
      <c r="C110" s="21" t="s">
        <v>52</v>
      </c>
      <c r="D110" s="22">
        <v>0.5</v>
      </c>
      <c r="E110" s="23"/>
      <c r="F110" s="23"/>
      <c r="G110" s="25">
        <f>D110*E107/F107</f>
        <v>3.3333333333333333E-2</v>
      </c>
      <c r="H110" s="22">
        <f>G110*$O$1026</f>
        <v>0</v>
      </c>
    </row>
    <row r="111" spans="1:8" ht="78.75" x14ac:dyDescent="0.45">
      <c r="A111" s="18"/>
      <c r="B111" s="18"/>
      <c r="C111" s="21" t="s">
        <v>55</v>
      </c>
      <c r="D111" s="22">
        <v>1</v>
      </c>
      <c r="E111" s="23"/>
      <c r="F111" s="23"/>
      <c r="G111" s="25">
        <f>D111*E109/F109</f>
        <v>6.6666666666666666E-2</v>
      </c>
      <c r="H111" s="22">
        <f>G111*$O$1030</f>
        <v>0</v>
      </c>
    </row>
    <row r="112" spans="1:8" ht="31.5" x14ac:dyDescent="0.45">
      <c r="A112" s="18"/>
      <c r="B112" s="18"/>
      <c r="C112" s="21" t="s">
        <v>12</v>
      </c>
      <c r="D112" s="22">
        <v>0.2</v>
      </c>
      <c r="E112" s="23"/>
      <c r="F112" s="23"/>
      <c r="G112" s="25">
        <f>D112*E109/F109</f>
        <v>1.3333333333333334E-2</v>
      </c>
      <c r="H112" s="22">
        <f>G112*O$1022</f>
        <v>0</v>
      </c>
    </row>
    <row r="113" spans="1:8" ht="63" x14ac:dyDescent="0.45">
      <c r="A113" s="26"/>
      <c r="B113" s="26"/>
      <c r="C113" s="21" t="s">
        <v>54</v>
      </c>
      <c r="D113" s="22">
        <v>0.2</v>
      </c>
      <c r="E113" s="23"/>
      <c r="F113" s="23"/>
      <c r="G113" s="25">
        <f>D113*E109/F109</f>
        <v>1.3333333333333334E-2</v>
      </c>
      <c r="H113" s="22">
        <f>G113*$O$1038</f>
        <v>0</v>
      </c>
    </row>
    <row r="114" spans="1:8" ht="78.75" x14ac:dyDescent="0.45">
      <c r="A114" s="43"/>
      <c r="B114" s="1"/>
      <c r="C114" s="22" t="s">
        <v>55</v>
      </c>
      <c r="D114" s="22">
        <v>0</v>
      </c>
      <c r="E114" s="22">
        <v>10</v>
      </c>
      <c r="F114" s="22">
        <f>F107</f>
        <v>150</v>
      </c>
      <c r="G114" s="22">
        <f>(D114+D115)*E114/F114</f>
        <v>0</v>
      </c>
      <c r="H114" s="22">
        <f>G114*$O$1030</f>
        <v>0</v>
      </c>
    </row>
    <row r="115" spans="1:8" ht="15.75" x14ac:dyDescent="0.45">
      <c r="A115" s="43"/>
      <c r="B115" s="1"/>
      <c r="C115" s="1"/>
      <c r="D115" s="44"/>
      <c r="E115" s="44"/>
      <c r="F115" s="44"/>
      <c r="G115" s="45"/>
      <c r="H115" s="44"/>
    </row>
    <row r="116" spans="1:8" ht="15.75" x14ac:dyDescent="0.45">
      <c r="A116" s="10" t="s">
        <v>57</v>
      </c>
      <c r="B116" s="10" t="s">
        <v>58</v>
      </c>
      <c r="C116" s="12" t="s">
        <v>59</v>
      </c>
      <c r="D116" s="12">
        <v>1</v>
      </c>
      <c r="E116" s="56">
        <v>10</v>
      </c>
      <c r="F116" s="56">
        <v>600</v>
      </c>
      <c r="G116" s="57">
        <f>(D117)*E116/F116</f>
        <v>6.6666666666666666E-2</v>
      </c>
      <c r="H116" s="58">
        <f>G116*$K$3</f>
        <v>0.96666666666666667</v>
      </c>
    </row>
    <row r="117" spans="1:8" ht="31.5" x14ac:dyDescent="0.45">
      <c r="A117" s="18"/>
      <c r="B117" s="18"/>
      <c r="C117" s="12" t="s">
        <v>11</v>
      </c>
      <c r="D117" s="12">
        <v>4</v>
      </c>
      <c r="E117" s="56"/>
      <c r="F117" s="56"/>
      <c r="G117" s="59"/>
      <c r="H117" s="60"/>
    </row>
    <row r="118" spans="1:8" ht="15.75" x14ac:dyDescent="0.45">
      <c r="A118" s="18"/>
      <c r="B118" s="18"/>
      <c r="C118" s="21" t="s">
        <v>60</v>
      </c>
      <c r="D118" s="21">
        <v>1</v>
      </c>
      <c r="E118" s="21">
        <f>+E116</f>
        <v>10</v>
      </c>
      <c r="F118" s="21">
        <v>15000</v>
      </c>
      <c r="G118" s="25">
        <f t="shared" ref="G118:G121" si="17">D118*E118/F118</f>
        <v>6.6666666666666664E-4</v>
      </c>
      <c r="H118" s="22">
        <f>G118*$O$1039</f>
        <v>0</v>
      </c>
    </row>
    <row r="119" spans="1:8" ht="15.75" x14ac:dyDescent="0.45">
      <c r="A119" s="18"/>
      <c r="B119" s="18"/>
      <c r="C119" s="21" t="s">
        <v>61</v>
      </c>
      <c r="D119" s="21">
        <v>0</v>
      </c>
      <c r="E119" s="21">
        <v>10</v>
      </c>
      <c r="F119" s="21">
        <f>+F118</f>
        <v>15000</v>
      </c>
      <c r="G119" s="25">
        <f t="shared" si="17"/>
        <v>0</v>
      </c>
      <c r="H119" s="22">
        <f>G119*$O$1026</f>
        <v>0</v>
      </c>
    </row>
    <row r="120" spans="1:8" ht="31.5" x14ac:dyDescent="0.45">
      <c r="A120" s="18"/>
      <c r="B120" s="18"/>
      <c r="C120" s="21" t="s">
        <v>62</v>
      </c>
      <c r="D120" s="21">
        <v>0</v>
      </c>
      <c r="E120" s="21">
        <v>10</v>
      </c>
      <c r="F120" s="21">
        <v>500</v>
      </c>
      <c r="G120" s="25">
        <f t="shared" si="17"/>
        <v>0</v>
      </c>
      <c r="H120" s="22">
        <f>G120*$O$1030</f>
        <v>0</v>
      </c>
    </row>
    <row r="121" spans="1:8" ht="31.5" x14ac:dyDescent="0.45">
      <c r="A121" s="26"/>
      <c r="B121" s="26"/>
      <c r="C121" s="21" t="s">
        <v>63</v>
      </c>
      <c r="D121" s="21">
        <v>0</v>
      </c>
      <c r="E121" s="21">
        <v>10</v>
      </c>
      <c r="F121" s="21">
        <v>250</v>
      </c>
      <c r="G121" s="25">
        <f t="shared" si="17"/>
        <v>0</v>
      </c>
      <c r="H121" s="22">
        <f>G121*O$1022</f>
        <v>0</v>
      </c>
    </row>
    <row r="122" spans="1:8" ht="15.75" x14ac:dyDescent="0.45">
      <c r="A122" s="43"/>
      <c r="B122" s="1"/>
      <c r="C122" s="1"/>
      <c r="D122" s="44"/>
      <c r="E122" s="44"/>
      <c r="F122" s="44"/>
      <c r="G122" s="45"/>
      <c r="H122" s="44"/>
    </row>
    <row r="123" spans="1:8" ht="15.75" x14ac:dyDescent="0.45">
      <c r="A123" s="43"/>
      <c r="B123" s="1"/>
      <c r="C123" s="1"/>
      <c r="D123" s="44"/>
      <c r="E123" s="44"/>
      <c r="F123" s="44"/>
      <c r="G123" s="45"/>
      <c r="H123" s="44"/>
    </row>
    <row r="124" spans="1:8" ht="31.5" x14ac:dyDescent="0.45">
      <c r="A124" s="10" t="s">
        <v>64</v>
      </c>
      <c r="B124" s="10" t="s">
        <v>65</v>
      </c>
      <c r="C124" s="12" t="s">
        <v>66</v>
      </c>
      <c r="D124" s="13">
        <v>4</v>
      </c>
      <c r="E124" s="14">
        <f>E93</f>
        <v>10</v>
      </c>
      <c r="F124" s="14">
        <v>5</v>
      </c>
      <c r="G124" s="16">
        <f>(D124+D125)*E124/F124</f>
        <v>10</v>
      </c>
      <c r="H124" s="17">
        <f>G124*$K$3</f>
        <v>145</v>
      </c>
    </row>
    <row r="125" spans="1:8" ht="15.75" x14ac:dyDescent="0.45">
      <c r="A125" s="18"/>
      <c r="B125" s="18"/>
      <c r="C125" s="12" t="s">
        <v>67</v>
      </c>
      <c r="D125" s="13">
        <v>1</v>
      </c>
      <c r="E125" s="14"/>
      <c r="F125" s="14"/>
      <c r="G125" s="31"/>
      <c r="H125" s="32"/>
    </row>
    <row r="126" spans="1:8" ht="31.5" x14ac:dyDescent="0.45">
      <c r="A126" s="18"/>
      <c r="B126" s="18"/>
      <c r="C126" s="12" t="s">
        <v>68</v>
      </c>
      <c r="D126" s="13">
        <v>4</v>
      </c>
      <c r="E126" s="14">
        <f>E95</f>
        <v>10</v>
      </c>
      <c r="F126" s="14">
        <v>12</v>
      </c>
      <c r="G126" s="16">
        <f>(D126+D127)*E126/F126</f>
        <v>4.166666666666667</v>
      </c>
      <c r="H126" s="17">
        <f>G126*$K$3</f>
        <v>60.416666666666671</v>
      </c>
    </row>
    <row r="127" spans="1:8" ht="15.75" x14ac:dyDescent="0.45">
      <c r="A127" s="18"/>
      <c r="B127" s="18"/>
      <c r="C127" s="12" t="s">
        <v>69</v>
      </c>
      <c r="D127" s="13">
        <v>1</v>
      </c>
      <c r="E127" s="14"/>
      <c r="F127" s="14"/>
      <c r="G127" s="31"/>
      <c r="H127" s="32"/>
    </row>
    <row r="128" spans="1:8" ht="31.5" x14ac:dyDescent="0.45">
      <c r="A128" s="18"/>
      <c r="B128" s="18"/>
      <c r="C128" s="21" t="s">
        <v>70</v>
      </c>
      <c r="D128" s="22">
        <v>1</v>
      </c>
      <c r="E128" s="23">
        <f>E126</f>
        <v>10</v>
      </c>
      <c r="F128" s="23">
        <f>F124</f>
        <v>5</v>
      </c>
      <c r="G128" s="25">
        <f t="shared" ref="G128:G130" si="18">D128*E128/F128</f>
        <v>2</v>
      </c>
      <c r="H128" s="22">
        <f>G128*O1040</f>
        <v>0</v>
      </c>
    </row>
    <row r="129" spans="1:8" ht="31.5" x14ac:dyDescent="0.45">
      <c r="A129" s="18"/>
      <c r="B129" s="18"/>
      <c r="C129" s="21" t="s">
        <v>71</v>
      </c>
      <c r="D129" s="22">
        <v>1</v>
      </c>
      <c r="E129" s="23">
        <f t="shared" ref="E129:E130" si="19">E128</f>
        <v>10</v>
      </c>
      <c r="F129" s="23">
        <f>F126</f>
        <v>12</v>
      </c>
      <c r="G129" s="25">
        <f t="shared" si="18"/>
        <v>0.83333333333333337</v>
      </c>
      <c r="H129" s="22">
        <f>G129*O1040</f>
        <v>0</v>
      </c>
    </row>
    <row r="130" spans="1:8" ht="47.25" x14ac:dyDescent="0.45">
      <c r="A130" s="26"/>
      <c r="B130" s="26"/>
      <c r="C130" s="21" t="s">
        <v>72</v>
      </c>
      <c r="D130" s="22">
        <v>1</v>
      </c>
      <c r="E130" s="23">
        <f t="shared" si="19"/>
        <v>10</v>
      </c>
      <c r="F130" s="23">
        <f>F129</f>
        <v>12</v>
      </c>
      <c r="G130" s="25">
        <f t="shared" si="18"/>
        <v>0.83333333333333337</v>
      </c>
      <c r="H130" s="22">
        <f>G130*O$1022</f>
        <v>0</v>
      </c>
    </row>
    <row r="131" spans="1:8" ht="15.75" x14ac:dyDescent="0.45">
      <c r="A131" s="43"/>
      <c r="B131" s="1"/>
      <c r="C131" s="1" t="s">
        <v>73</v>
      </c>
      <c r="D131" s="39">
        <v>1</v>
      </c>
      <c r="E131" s="61"/>
      <c r="F131" s="61"/>
      <c r="G131" s="45"/>
      <c r="H131" s="44"/>
    </row>
    <row r="132" spans="1:8" ht="126" x14ac:dyDescent="0.45">
      <c r="A132" s="43"/>
      <c r="B132" s="1"/>
      <c r="C132" s="1" t="s">
        <v>74</v>
      </c>
      <c r="D132" s="39">
        <v>0.5</v>
      </c>
      <c r="E132" s="61"/>
      <c r="F132" s="61"/>
      <c r="G132" s="45"/>
      <c r="H132" s="44"/>
    </row>
    <row r="133" spans="1:8" ht="15.75" x14ac:dyDescent="0.45">
      <c r="A133" s="43"/>
      <c r="B133" s="1"/>
      <c r="C133" s="1"/>
      <c r="D133" s="44"/>
      <c r="E133" s="44"/>
      <c r="F133" s="44"/>
      <c r="G133" s="45"/>
      <c r="H133" s="44"/>
    </row>
    <row r="134" spans="1:8" ht="31.5" x14ac:dyDescent="0.45">
      <c r="A134" s="10" t="s">
        <v>75</v>
      </c>
      <c r="B134" s="10" t="s">
        <v>65</v>
      </c>
      <c r="C134" s="12" t="s">
        <v>66</v>
      </c>
      <c r="D134" s="13">
        <v>4</v>
      </c>
      <c r="E134" s="14">
        <f>E101</f>
        <v>10</v>
      </c>
      <c r="F134" s="14">
        <v>5</v>
      </c>
      <c r="G134" s="16">
        <f>(D134+D135)*E134/F134</f>
        <v>10</v>
      </c>
      <c r="H134" s="17">
        <f>G134*$K$3</f>
        <v>145</v>
      </c>
    </row>
    <row r="135" spans="1:8" ht="15.75" x14ac:dyDescent="0.45">
      <c r="A135" s="18"/>
      <c r="B135" s="18"/>
      <c r="C135" s="12" t="s">
        <v>67</v>
      </c>
      <c r="D135" s="13">
        <v>1</v>
      </c>
      <c r="E135" s="14"/>
      <c r="F135" s="14"/>
      <c r="G135" s="31"/>
      <c r="H135" s="32"/>
    </row>
    <row r="136" spans="1:8" ht="31.5" x14ac:dyDescent="0.45">
      <c r="A136" s="18"/>
      <c r="B136" s="18"/>
      <c r="C136" s="12" t="s">
        <v>68</v>
      </c>
      <c r="D136" s="13">
        <v>4</v>
      </c>
      <c r="E136" s="14">
        <f>E134</f>
        <v>10</v>
      </c>
      <c r="F136" s="14">
        <v>12</v>
      </c>
      <c r="G136" s="16">
        <f>(D136+D137)*E136/F136</f>
        <v>4.166666666666667</v>
      </c>
      <c r="H136" s="17">
        <f>G136*$K$3</f>
        <v>60.416666666666671</v>
      </c>
    </row>
    <row r="137" spans="1:8" ht="15.75" x14ac:dyDescent="0.45">
      <c r="A137" s="18"/>
      <c r="B137" s="18"/>
      <c r="C137" s="12" t="s">
        <v>69</v>
      </c>
      <c r="D137" s="13">
        <v>1</v>
      </c>
      <c r="E137" s="14"/>
      <c r="F137" s="14"/>
      <c r="G137" s="31"/>
      <c r="H137" s="32"/>
    </row>
    <row r="138" spans="1:8" ht="31.5" x14ac:dyDescent="0.45">
      <c r="A138" s="18"/>
      <c r="B138" s="18"/>
      <c r="C138" s="21" t="s">
        <v>70</v>
      </c>
      <c r="D138" s="22">
        <v>1</v>
      </c>
      <c r="E138" s="23">
        <f>E136</f>
        <v>10</v>
      </c>
      <c r="F138" s="23">
        <f>F134</f>
        <v>5</v>
      </c>
      <c r="G138" s="25">
        <f t="shared" ref="G138:G140" si="20">D138*E138/F138</f>
        <v>2</v>
      </c>
      <c r="H138" s="22">
        <f>G138*O1040</f>
        <v>0</v>
      </c>
    </row>
    <row r="139" spans="1:8" ht="31.5" x14ac:dyDescent="0.45">
      <c r="A139" s="18"/>
      <c r="B139" s="18"/>
      <c r="C139" s="21" t="s">
        <v>71</v>
      </c>
      <c r="D139" s="22">
        <v>1</v>
      </c>
      <c r="E139" s="23">
        <f t="shared" ref="E139:E140" si="21">E138</f>
        <v>10</v>
      </c>
      <c r="F139" s="23">
        <f>F136</f>
        <v>12</v>
      </c>
      <c r="G139" s="25">
        <f t="shared" si="20"/>
        <v>0.83333333333333337</v>
      </c>
      <c r="H139" s="22">
        <f>G139*O1040</f>
        <v>0</v>
      </c>
    </row>
    <row r="140" spans="1:8" ht="47.25" x14ac:dyDescent="0.45">
      <c r="A140" s="26"/>
      <c r="B140" s="26"/>
      <c r="C140" s="21" t="s">
        <v>72</v>
      </c>
      <c r="D140" s="22">
        <v>1</v>
      </c>
      <c r="E140" s="23">
        <f t="shared" si="21"/>
        <v>10</v>
      </c>
      <c r="F140" s="23">
        <f>F139</f>
        <v>12</v>
      </c>
      <c r="G140" s="25">
        <f t="shared" si="20"/>
        <v>0.83333333333333337</v>
      </c>
      <c r="H140" s="22">
        <f>G140*O$1022</f>
        <v>0</v>
      </c>
    </row>
    <row r="141" spans="1:8" ht="15.75" x14ac:dyDescent="0.45">
      <c r="A141" s="43"/>
      <c r="B141" s="1"/>
      <c r="C141" s="1" t="s">
        <v>73</v>
      </c>
      <c r="D141" s="39">
        <v>1</v>
      </c>
      <c r="E141" s="61"/>
      <c r="F141" s="61"/>
      <c r="G141" s="45"/>
      <c r="H141" s="44"/>
    </row>
    <row r="142" spans="1:8" ht="126" x14ac:dyDescent="0.45">
      <c r="A142" s="43"/>
      <c r="B142" s="1"/>
      <c r="C142" s="1" t="s">
        <v>74</v>
      </c>
      <c r="D142" s="39">
        <v>0.5</v>
      </c>
      <c r="E142" s="61"/>
      <c r="F142" s="61"/>
      <c r="G142" s="45"/>
      <c r="H142" s="44"/>
    </row>
    <row r="143" spans="1:8" ht="15.75" x14ac:dyDescent="0.45">
      <c r="A143" s="43"/>
      <c r="B143" s="1"/>
      <c r="C143" s="1"/>
      <c r="D143" s="44"/>
      <c r="E143" s="44"/>
      <c r="F143" s="44"/>
      <c r="G143" s="45"/>
      <c r="H143" s="44"/>
    </row>
    <row r="144" spans="1:8" ht="31.5" x14ac:dyDescent="0.45">
      <c r="A144" s="10" t="s">
        <v>76</v>
      </c>
      <c r="B144" s="10" t="s">
        <v>65</v>
      </c>
      <c r="C144" s="12" t="s">
        <v>66</v>
      </c>
      <c r="D144" s="13">
        <v>4</v>
      </c>
      <c r="E144" s="14">
        <f>E140</f>
        <v>10</v>
      </c>
      <c r="F144" s="14">
        <v>5</v>
      </c>
      <c r="G144" s="16">
        <f>(D144+D145)*E144/F144</f>
        <v>10</v>
      </c>
      <c r="H144" s="17">
        <f>G144*$K$3</f>
        <v>145</v>
      </c>
    </row>
    <row r="145" spans="1:8" ht="15.75" x14ac:dyDescent="0.45">
      <c r="A145" s="18"/>
      <c r="B145" s="18"/>
      <c r="C145" s="12" t="s">
        <v>67</v>
      </c>
      <c r="D145" s="13">
        <v>1</v>
      </c>
      <c r="E145" s="14"/>
      <c r="F145" s="14"/>
      <c r="G145" s="31"/>
      <c r="H145" s="32"/>
    </row>
    <row r="146" spans="1:8" ht="31.5" x14ac:dyDescent="0.45">
      <c r="A146" s="18"/>
      <c r="B146" s="18"/>
      <c r="C146" s="12" t="s">
        <v>68</v>
      </c>
      <c r="D146" s="13">
        <v>2</v>
      </c>
      <c r="E146" s="14">
        <f>E144</f>
        <v>10</v>
      </c>
      <c r="F146" s="14">
        <v>20</v>
      </c>
      <c r="G146" s="16">
        <f>(D146+D147)*E146/F146</f>
        <v>1.5</v>
      </c>
      <c r="H146" s="17">
        <f>G146*$K$3</f>
        <v>21.75</v>
      </c>
    </row>
    <row r="147" spans="1:8" ht="15.75" x14ac:dyDescent="0.45">
      <c r="A147" s="18"/>
      <c r="B147" s="18"/>
      <c r="C147" s="12" t="s">
        <v>69</v>
      </c>
      <c r="D147" s="13">
        <v>1</v>
      </c>
      <c r="E147" s="14"/>
      <c r="F147" s="14"/>
      <c r="G147" s="31"/>
      <c r="H147" s="32"/>
    </row>
    <row r="148" spans="1:8" ht="31.5" x14ac:dyDescent="0.45">
      <c r="A148" s="18"/>
      <c r="B148" s="18"/>
      <c r="C148" s="21" t="s">
        <v>70</v>
      </c>
      <c r="D148" s="22">
        <v>1</v>
      </c>
      <c r="E148" s="23">
        <f>E146</f>
        <v>10</v>
      </c>
      <c r="F148" s="23">
        <f>F144</f>
        <v>5</v>
      </c>
      <c r="G148" s="25">
        <f t="shared" ref="G148:G149" si="22">D148*E148/F148</f>
        <v>2</v>
      </c>
      <c r="H148" s="22">
        <f>G148*O1040</f>
        <v>0</v>
      </c>
    </row>
    <row r="149" spans="1:8" ht="31.5" x14ac:dyDescent="0.45">
      <c r="A149" s="26"/>
      <c r="B149" s="26"/>
      <c r="C149" s="21" t="s">
        <v>71</v>
      </c>
      <c r="D149" s="22">
        <v>1</v>
      </c>
      <c r="E149" s="23">
        <f>E148</f>
        <v>10</v>
      </c>
      <c r="F149" s="23">
        <f>F146</f>
        <v>20</v>
      </c>
      <c r="G149" s="25">
        <f t="shared" si="22"/>
        <v>0.5</v>
      </c>
      <c r="H149" s="22">
        <f>G149*O1040</f>
        <v>0</v>
      </c>
    </row>
    <row r="150" spans="1:8" ht="15.75" x14ac:dyDescent="0.45">
      <c r="A150" s="43"/>
      <c r="B150" s="1"/>
      <c r="C150" s="1" t="s">
        <v>73</v>
      </c>
      <c r="D150" s="39">
        <v>1</v>
      </c>
      <c r="E150" s="61"/>
      <c r="F150" s="61"/>
      <c r="G150" s="45"/>
      <c r="H150" s="44"/>
    </row>
    <row r="151" spans="1:8" ht="31.5" x14ac:dyDescent="0.45">
      <c r="A151" s="43"/>
      <c r="B151" s="1"/>
      <c r="C151" s="1" t="s">
        <v>77</v>
      </c>
      <c r="D151" s="44">
        <v>0.5</v>
      </c>
      <c r="E151" s="61"/>
      <c r="F151" s="61"/>
      <c r="G151" s="45"/>
      <c r="H151" s="44"/>
    </row>
    <row r="152" spans="1:8" ht="15.75" x14ac:dyDescent="0.45">
      <c r="A152" s="43"/>
      <c r="B152" s="1"/>
      <c r="C152" s="1"/>
      <c r="D152" s="44"/>
      <c r="E152" s="44"/>
      <c r="F152" s="44"/>
      <c r="G152" s="45"/>
      <c r="H152" s="44"/>
    </row>
    <row r="153" spans="1:8" ht="31.5" x14ac:dyDescent="0.45">
      <c r="A153" s="10" t="s">
        <v>78</v>
      </c>
      <c r="B153" s="10" t="s">
        <v>65</v>
      </c>
      <c r="C153" s="12" t="s">
        <v>66</v>
      </c>
      <c r="D153" s="13">
        <v>4</v>
      </c>
      <c r="E153" s="14">
        <f>E128</f>
        <v>10</v>
      </c>
      <c r="F153" s="14">
        <v>8</v>
      </c>
      <c r="G153" s="16">
        <f>(D153+D154)*E153/F153</f>
        <v>6.25</v>
      </c>
      <c r="H153" s="17">
        <f>G153*$K$3</f>
        <v>90.625</v>
      </c>
    </row>
    <row r="154" spans="1:8" ht="15.75" x14ac:dyDescent="0.45">
      <c r="A154" s="18"/>
      <c r="B154" s="18"/>
      <c r="C154" s="12" t="s">
        <v>67</v>
      </c>
      <c r="D154" s="13">
        <v>1</v>
      </c>
      <c r="E154" s="14"/>
      <c r="F154" s="14"/>
      <c r="G154" s="31"/>
      <c r="H154" s="32"/>
    </row>
    <row r="155" spans="1:8" ht="31.5" x14ac:dyDescent="0.45">
      <c r="A155" s="18"/>
      <c r="B155" s="18"/>
      <c r="C155" s="12" t="s">
        <v>68</v>
      </c>
      <c r="D155" s="13">
        <v>2</v>
      </c>
      <c r="E155" s="14">
        <f>E153</f>
        <v>10</v>
      </c>
      <c r="F155" s="14">
        <v>40</v>
      </c>
      <c r="G155" s="16">
        <f>(D155+D156)*E155/F155</f>
        <v>0.75</v>
      </c>
      <c r="H155" s="17">
        <f>G155*$K$3</f>
        <v>10.875</v>
      </c>
    </row>
    <row r="156" spans="1:8" ht="15.75" x14ac:dyDescent="0.45">
      <c r="A156" s="18"/>
      <c r="B156" s="18"/>
      <c r="C156" s="12" t="s">
        <v>69</v>
      </c>
      <c r="D156" s="13">
        <v>1</v>
      </c>
      <c r="E156" s="14"/>
      <c r="F156" s="14"/>
      <c r="G156" s="31"/>
      <c r="H156" s="32"/>
    </row>
    <row r="157" spans="1:8" ht="31.5" x14ac:dyDescent="0.45">
      <c r="A157" s="18"/>
      <c r="B157" s="18"/>
      <c r="C157" s="21" t="s">
        <v>70</v>
      </c>
      <c r="D157" s="22">
        <v>1</v>
      </c>
      <c r="E157" s="23">
        <f>E155</f>
        <v>10</v>
      </c>
      <c r="F157" s="23">
        <f>F153</f>
        <v>8</v>
      </c>
      <c r="G157" s="25">
        <f t="shared" ref="G157:G158" si="23">D157*E157/F157</f>
        <v>1.25</v>
      </c>
      <c r="H157" s="22">
        <f>G157*$O$1040</f>
        <v>0</v>
      </c>
    </row>
    <row r="158" spans="1:8" ht="31.5" x14ac:dyDescent="0.45">
      <c r="A158" s="26"/>
      <c r="B158" s="26"/>
      <c r="C158" s="21" t="s">
        <v>71</v>
      </c>
      <c r="D158" s="22">
        <v>1</v>
      </c>
      <c r="E158" s="23">
        <f>E157</f>
        <v>10</v>
      </c>
      <c r="F158" s="23">
        <f>F155</f>
        <v>40</v>
      </c>
      <c r="G158" s="25">
        <f t="shared" si="23"/>
        <v>0.25</v>
      </c>
      <c r="H158" s="22">
        <f>G158*O1040</f>
        <v>0</v>
      </c>
    </row>
    <row r="159" spans="1:8" ht="15.75" x14ac:dyDescent="0.45">
      <c r="A159" s="43"/>
      <c r="B159" s="1"/>
      <c r="C159" s="1" t="s">
        <v>73</v>
      </c>
      <c r="D159" s="39">
        <v>1</v>
      </c>
      <c r="E159" s="61"/>
      <c r="F159" s="61"/>
      <c r="G159" s="45"/>
      <c r="H159" s="44"/>
    </row>
    <row r="160" spans="1:8" ht="31.5" x14ac:dyDescent="0.45">
      <c r="A160" s="43"/>
      <c r="B160" s="1"/>
      <c r="C160" s="1" t="s">
        <v>77</v>
      </c>
      <c r="D160" s="44">
        <v>0.5</v>
      </c>
      <c r="E160" s="61"/>
      <c r="F160" s="61"/>
      <c r="G160" s="45"/>
      <c r="H160" s="44"/>
    </row>
    <row r="161" spans="1:8" ht="15.75" x14ac:dyDescent="0.45">
      <c r="A161" s="43"/>
      <c r="B161" s="1"/>
      <c r="C161" s="1"/>
      <c r="D161" s="44"/>
      <c r="E161" s="44"/>
      <c r="F161" s="44"/>
      <c r="G161" s="45"/>
      <c r="H161" s="44"/>
    </row>
    <row r="162" spans="1:8" ht="15.75" x14ac:dyDescent="0.45">
      <c r="A162" s="43"/>
      <c r="B162" s="1"/>
      <c r="C162" s="1"/>
      <c r="D162" s="44"/>
      <c r="E162" s="44"/>
      <c r="F162" s="44"/>
      <c r="G162" s="45"/>
      <c r="H162" s="44"/>
    </row>
    <row r="163" spans="1:8" ht="31.5" x14ac:dyDescent="0.45">
      <c r="A163" s="10" t="s">
        <v>79</v>
      </c>
      <c r="B163" s="10" t="s">
        <v>65</v>
      </c>
      <c r="C163" s="12" t="s">
        <v>11</v>
      </c>
      <c r="D163" s="13">
        <v>4</v>
      </c>
      <c r="E163" s="14">
        <f>E99</f>
        <v>10</v>
      </c>
      <c r="F163" s="14">
        <v>15</v>
      </c>
      <c r="G163" s="16">
        <f>(D163+D164)*E163/F163</f>
        <v>4</v>
      </c>
      <c r="H163" s="17">
        <f>G163*$K$3</f>
        <v>58</v>
      </c>
    </row>
    <row r="164" spans="1:8" ht="31.5" x14ac:dyDescent="0.45">
      <c r="A164" s="18"/>
      <c r="B164" s="18"/>
      <c r="C164" s="12" t="s">
        <v>80</v>
      </c>
      <c r="D164" s="13">
        <v>2</v>
      </c>
      <c r="E164" s="14"/>
      <c r="F164" s="14"/>
      <c r="G164" s="31"/>
      <c r="H164" s="32"/>
    </row>
    <row r="165" spans="1:8" ht="31.5" x14ac:dyDescent="0.45">
      <c r="A165" s="18"/>
      <c r="B165" s="18"/>
      <c r="C165" s="21" t="s">
        <v>43</v>
      </c>
      <c r="D165" s="22">
        <v>1</v>
      </c>
      <c r="E165" s="23">
        <f t="shared" ref="E165:F165" si="24">E163</f>
        <v>10</v>
      </c>
      <c r="F165" s="23">
        <f t="shared" si="24"/>
        <v>15</v>
      </c>
      <c r="G165" s="25">
        <f>D165*E165/F165</f>
        <v>0.66666666666666663</v>
      </c>
      <c r="H165" s="22">
        <f>G165*$O$1030</f>
        <v>0</v>
      </c>
    </row>
    <row r="166" spans="1:8" ht="31.5" x14ac:dyDescent="0.45">
      <c r="A166" s="18"/>
      <c r="B166" s="18"/>
      <c r="C166" s="21" t="s">
        <v>12</v>
      </c>
      <c r="D166" s="22">
        <v>0.3</v>
      </c>
      <c r="E166" s="23"/>
      <c r="F166" s="23"/>
      <c r="G166" s="25">
        <f>D166*E165/F165</f>
        <v>0.2</v>
      </c>
      <c r="H166" s="22">
        <f>G166*O$1022</f>
        <v>0</v>
      </c>
    </row>
    <row r="167" spans="1:8" ht="63" x14ac:dyDescent="0.45">
      <c r="A167" s="26"/>
      <c r="B167" s="26"/>
      <c r="C167" s="21" t="s">
        <v>81</v>
      </c>
      <c r="D167" s="22">
        <v>1</v>
      </c>
      <c r="E167" s="23"/>
      <c r="F167" s="23"/>
      <c r="G167" s="25">
        <f>D167*E165/F165</f>
        <v>0.66666666666666663</v>
      </c>
      <c r="H167" s="22">
        <f>G167*$O$1046</f>
        <v>0</v>
      </c>
    </row>
    <row r="168" spans="1:8" ht="15.75" x14ac:dyDescent="0.45">
      <c r="A168" s="43"/>
      <c r="B168" s="1"/>
      <c r="C168" s="1"/>
      <c r="D168" s="1"/>
      <c r="E168" s="1"/>
      <c r="F168" s="1"/>
      <c r="G168" s="45"/>
      <c r="H168" s="44"/>
    </row>
    <row r="169" spans="1:8" ht="31.5" x14ac:dyDescent="0.45">
      <c r="A169" s="10" t="s">
        <v>82</v>
      </c>
      <c r="B169" s="10" t="s">
        <v>65</v>
      </c>
      <c r="C169" s="12" t="s">
        <v>11</v>
      </c>
      <c r="D169" s="13">
        <v>4</v>
      </c>
      <c r="E169" s="14">
        <f>E163</f>
        <v>10</v>
      </c>
      <c r="F169" s="14">
        <v>24</v>
      </c>
      <c r="G169" s="16">
        <f>(D169+D170)*E169/F169</f>
        <v>2.5</v>
      </c>
      <c r="H169" s="17">
        <f>G169*$K$3</f>
        <v>36.25</v>
      </c>
    </row>
    <row r="170" spans="1:8" ht="31.5" x14ac:dyDescent="0.45">
      <c r="A170" s="18"/>
      <c r="B170" s="18"/>
      <c r="C170" s="12" t="s">
        <v>80</v>
      </c>
      <c r="D170" s="13">
        <v>2</v>
      </c>
      <c r="E170" s="14"/>
      <c r="F170" s="14"/>
      <c r="G170" s="31"/>
      <c r="H170" s="32"/>
    </row>
    <row r="171" spans="1:8" ht="31.5" x14ac:dyDescent="0.45">
      <c r="A171" s="18"/>
      <c r="B171" s="18"/>
      <c r="C171" s="21" t="s">
        <v>43</v>
      </c>
      <c r="D171" s="22">
        <v>1</v>
      </c>
      <c r="E171" s="23">
        <f t="shared" ref="E171:F171" si="25">E169</f>
        <v>10</v>
      </c>
      <c r="F171" s="23">
        <f t="shared" si="25"/>
        <v>24</v>
      </c>
      <c r="G171" s="25">
        <f>D171*E171/F171</f>
        <v>0.41666666666666669</v>
      </c>
      <c r="H171" s="22">
        <f>G171*$O$1030</f>
        <v>0</v>
      </c>
    </row>
    <row r="172" spans="1:8" ht="31.5" x14ac:dyDescent="0.45">
      <c r="A172" s="18"/>
      <c r="B172" s="18"/>
      <c r="C172" s="21" t="s">
        <v>12</v>
      </c>
      <c r="D172" s="22">
        <v>0.3</v>
      </c>
      <c r="E172" s="23"/>
      <c r="F172" s="23"/>
      <c r="G172" s="25">
        <f>D172*E171/F171</f>
        <v>0.125</v>
      </c>
      <c r="H172" s="22">
        <f>G172*O$1022</f>
        <v>0</v>
      </c>
    </row>
    <row r="173" spans="1:8" ht="63" x14ac:dyDescent="0.45">
      <c r="A173" s="26"/>
      <c r="B173" s="26"/>
      <c r="C173" s="21" t="s">
        <v>81</v>
      </c>
      <c r="D173" s="22">
        <v>1</v>
      </c>
      <c r="E173" s="23"/>
      <c r="F173" s="23"/>
      <c r="G173" s="25">
        <f>D173*E171/F171</f>
        <v>0.41666666666666669</v>
      </c>
      <c r="H173" s="22">
        <f>G173*$O$1046</f>
        <v>0</v>
      </c>
    </row>
    <row r="174" spans="1:8" ht="15.75" x14ac:dyDescent="0.45">
      <c r="A174" s="43"/>
      <c r="B174" s="1"/>
      <c r="C174" s="1"/>
      <c r="D174" s="44"/>
      <c r="E174" s="44"/>
      <c r="F174" s="44"/>
      <c r="G174" s="45"/>
      <c r="H174" s="44"/>
    </row>
    <row r="175" spans="1:8" ht="31.5" x14ac:dyDescent="0.45">
      <c r="A175" s="10" t="s">
        <v>83</v>
      </c>
      <c r="B175" s="10" t="s">
        <v>65</v>
      </c>
      <c r="C175" s="12" t="s">
        <v>11</v>
      </c>
      <c r="D175" s="13">
        <v>2</v>
      </c>
      <c r="E175" s="14">
        <f>E169</f>
        <v>10</v>
      </c>
      <c r="F175" s="14">
        <v>35</v>
      </c>
      <c r="G175" s="16">
        <f>(D175+D176)*E175/F175</f>
        <v>1.1428571428571428</v>
      </c>
      <c r="H175" s="17">
        <f>G175*$K$3</f>
        <v>16.571428571428569</v>
      </c>
    </row>
    <row r="176" spans="1:8" ht="31.5" x14ac:dyDescent="0.45">
      <c r="A176" s="18"/>
      <c r="B176" s="18"/>
      <c r="C176" s="12" t="s">
        <v>80</v>
      </c>
      <c r="D176" s="13">
        <v>2</v>
      </c>
      <c r="E176" s="14"/>
      <c r="F176" s="14"/>
      <c r="G176" s="31"/>
      <c r="H176" s="32"/>
    </row>
    <row r="177" spans="1:8" ht="31.5" x14ac:dyDescent="0.45">
      <c r="A177" s="18"/>
      <c r="B177" s="18"/>
      <c r="C177" s="21" t="s">
        <v>43</v>
      </c>
      <c r="D177" s="22">
        <v>1</v>
      </c>
      <c r="E177" s="23">
        <f t="shared" ref="E177:F177" si="26">E175</f>
        <v>10</v>
      </c>
      <c r="F177" s="23">
        <f t="shared" si="26"/>
        <v>35</v>
      </c>
      <c r="G177" s="25">
        <f>D177*E177/F177</f>
        <v>0.2857142857142857</v>
      </c>
      <c r="H177" s="22">
        <f>G177*$O$1030</f>
        <v>0</v>
      </c>
    </row>
    <row r="178" spans="1:8" ht="31.5" x14ac:dyDescent="0.45">
      <c r="A178" s="18"/>
      <c r="B178" s="18"/>
      <c r="C178" s="21" t="s">
        <v>12</v>
      </c>
      <c r="D178" s="22">
        <v>0.3</v>
      </c>
      <c r="E178" s="23"/>
      <c r="F178" s="23"/>
      <c r="G178" s="25">
        <f>D178*E177/F177</f>
        <v>8.5714285714285715E-2</v>
      </c>
      <c r="H178" s="22">
        <f>G178*O$1022</f>
        <v>0</v>
      </c>
    </row>
    <row r="179" spans="1:8" ht="31.5" x14ac:dyDescent="0.45">
      <c r="A179" s="26"/>
      <c r="B179" s="26"/>
      <c r="C179" s="21" t="s">
        <v>84</v>
      </c>
      <c r="D179" s="22">
        <v>1</v>
      </c>
      <c r="E179" s="23"/>
      <c r="F179" s="23"/>
      <c r="G179" s="25">
        <f>D179*E177/F177</f>
        <v>0.2857142857142857</v>
      </c>
      <c r="H179" s="22">
        <f>G179*$O$1045</f>
        <v>0</v>
      </c>
    </row>
    <row r="180" spans="1:8" ht="15.75" x14ac:dyDescent="0.45">
      <c r="A180" s="43"/>
      <c r="B180" s="1"/>
      <c r="C180" s="1"/>
      <c r="D180" s="39"/>
      <c r="E180" s="44"/>
      <c r="F180" s="44"/>
      <c r="G180" s="45"/>
      <c r="H180" s="44"/>
    </row>
    <row r="181" spans="1:8" ht="31.5" x14ac:dyDescent="0.45">
      <c r="A181" s="10" t="s">
        <v>85</v>
      </c>
      <c r="B181" s="10" t="s">
        <v>65</v>
      </c>
      <c r="C181" s="12" t="s">
        <v>11</v>
      </c>
      <c r="D181" s="13">
        <v>3</v>
      </c>
      <c r="E181" s="14">
        <f>E175</f>
        <v>10</v>
      </c>
      <c r="F181" s="14">
        <v>10</v>
      </c>
      <c r="G181" s="16">
        <f>(D181+D182)*E181/F181</f>
        <v>5</v>
      </c>
      <c r="H181" s="17">
        <f>G181*$K$3</f>
        <v>72.5</v>
      </c>
    </row>
    <row r="182" spans="1:8" ht="31.5" x14ac:dyDescent="0.45">
      <c r="A182" s="18"/>
      <c r="B182" s="18"/>
      <c r="C182" s="12" t="s">
        <v>80</v>
      </c>
      <c r="D182" s="13">
        <v>2</v>
      </c>
      <c r="E182" s="14"/>
      <c r="F182" s="14"/>
      <c r="G182" s="31"/>
      <c r="H182" s="32"/>
    </row>
    <row r="183" spans="1:8" ht="47.25" x14ac:dyDescent="0.45">
      <c r="A183" s="18"/>
      <c r="B183" s="18"/>
      <c r="C183" s="21" t="s">
        <v>36</v>
      </c>
      <c r="D183" s="22">
        <v>0.5</v>
      </c>
      <c r="E183" s="23">
        <f t="shared" ref="E183:F183" si="27">E181</f>
        <v>10</v>
      </c>
      <c r="F183" s="23">
        <f t="shared" si="27"/>
        <v>10</v>
      </c>
      <c r="G183" s="25">
        <f>D183*E183/F183</f>
        <v>0.5</v>
      </c>
      <c r="H183" s="22">
        <f>G183*$O$1029</f>
        <v>0</v>
      </c>
    </row>
    <row r="184" spans="1:8" ht="31.5" x14ac:dyDescent="0.45">
      <c r="A184" s="18"/>
      <c r="B184" s="18"/>
      <c r="C184" s="21" t="s">
        <v>84</v>
      </c>
      <c r="D184" s="22">
        <v>1</v>
      </c>
      <c r="E184" s="23"/>
      <c r="F184" s="23"/>
      <c r="G184" s="25">
        <f>D184*E183/F183</f>
        <v>1</v>
      </c>
      <c r="H184" s="22">
        <f>G184*$O$1045</f>
        <v>0</v>
      </c>
    </row>
    <row r="185" spans="1:8" ht="31.5" x14ac:dyDescent="0.45">
      <c r="A185" s="26"/>
      <c r="B185" s="26"/>
      <c r="C185" s="21" t="s">
        <v>12</v>
      </c>
      <c r="D185" s="22">
        <v>0.2</v>
      </c>
      <c r="E185" s="23"/>
      <c r="F185" s="23"/>
      <c r="G185" s="25">
        <f>D185*E183/F183</f>
        <v>0.2</v>
      </c>
      <c r="H185" s="22">
        <f>G185*O$1022</f>
        <v>0</v>
      </c>
    </row>
    <row r="186" spans="1:8" ht="15.75" x14ac:dyDescent="0.45">
      <c r="A186" s="43"/>
      <c r="B186" s="1"/>
      <c r="C186" s="1"/>
      <c r="D186" s="44"/>
      <c r="E186" s="44"/>
      <c r="F186" s="44"/>
      <c r="G186" s="45"/>
      <c r="H186" s="44"/>
    </row>
    <row r="187" spans="1:8" ht="31.5" x14ac:dyDescent="0.45">
      <c r="A187" s="10" t="s">
        <v>86</v>
      </c>
      <c r="B187" s="10" t="s">
        <v>65</v>
      </c>
      <c r="C187" s="12" t="s">
        <v>11</v>
      </c>
      <c r="D187" s="13">
        <v>3</v>
      </c>
      <c r="E187" s="14">
        <f>E181</f>
        <v>10</v>
      </c>
      <c r="F187" s="14">
        <v>25</v>
      </c>
      <c r="G187" s="16">
        <f>(D187+D188)*E187/F187</f>
        <v>2</v>
      </c>
      <c r="H187" s="17">
        <f>G187*$K$3</f>
        <v>29</v>
      </c>
    </row>
    <row r="188" spans="1:8" ht="31.5" x14ac:dyDescent="0.45">
      <c r="A188" s="18"/>
      <c r="B188" s="18"/>
      <c r="C188" s="12" t="s">
        <v>80</v>
      </c>
      <c r="D188" s="13">
        <v>2</v>
      </c>
      <c r="E188" s="14"/>
      <c r="F188" s="14"/>
      <c r="G188" s="31"/>
      <c r="H188" s="32"/>
    </row>
    <row r="189" spans="1:8" ht="31.5" x14ac:dyDescent="0.45">
      <c r="A189" s="18"/>
      <c r="B189" s="18"/>
      <c r="C189" s="21" t="s">
        <v>70</v>
      </c>
      <c r="D189" s="21">
        <v>1</v>
      </c>
      <c r="E189" s="22">
        <f t="shared" ref="E189:F189" si="28">+E187</f>
        <v>10</v>
      </c>
      <c r="F189" s="22">
        <f t="shared" si="28"/>
        <v>25</v>
      </c>
      <c r="G189" s="25">
        <f t="shared" ref="G189:G190" si="29">D189*E189/F189</f>
        <v>0.4</v>
      </c>
      <c r="H189" s="22">
        <f>G189*$O$1040</f>
        <v>0</v>
      </c>
    </row>
    <row r="190" spans="1:8" ht="47.25" x14ac:dyDescent="0.45">
      <c r="A190" s="18"/>
      <c r="B190" s="18"/>
      <c r="C190" s="21" t="s">
        <v>36</v>
      </c>
      <c r="D190" s="22">
        <v>0.5</v>
      </c>
      <c r="E190" s="23">
        <f t="shared" ref="E190:F190" si="30">E187</f>
        <v>10</v>
      </c>
      <c r="F190" s="23">
        <f t="shared" si="30"/>
        <v>25</v>
      </c>
      <c r="G190" s="25">
        <f t="shared" si="29"/>
        <v>0.2</v>
      </c>
      <c r="H190" s="22">
        <f>G190*$O$1029</f>
        <v>0</v>
      </c>
    </row>
    <row r="191" spans="1:8" ht="31.5" x14ac:dyDescent="0.45">
      <c r="A191" s="26"/>
      <c r="B191" s="26"/>
      <c r="C191" s="21" t="s">
        <v>12</v>
      </c>
      <c r="D191" s="22">
        <v>0.2</v>
      </c>
      <c r="E191" s="23"/>
      <c r="F191" s="23"/>
      <c r="G191" s="25">
        <f>D191*E190/F190</f>
        <v>0.08</v>
      </c>
      <c r="H191" s="22">
        <f>G191*O$1022</f>
        <v>0</v>
      </c>
    </row>
    <row r="192" spans="1:8" ht="15.75" x14ac:dyDescent="0.45">
      <c r="A192" s="43"/>
      <c r="B192" s="1"/>
      <c r="C192" s="1"/>
      <c r="D192" s="44"/>
      <c r="E192" s="61"/>
      <c r="F192" s="61"/>
      <c r="G192" s="45"/>
      <c r="H192" s="44"/>
    </row>
    <row r="193" spans="1:8" ht="31.5" x14ac:dyDescent="0.45">
      <c r="A193" s="10" t="s">
        <v>87</v>
      </c>
      <c r="B193" s="11" t="s">
        <v>65</v>
      </c>
      <c r="C193" s="12" t="s">
        <v>11</v>
      </c>
      <c r="D193" s="13">
        <v>4</v>
      </c>
      <c r="E193" s="14">
        <f>E187</f>
        <v>10</v>
      </c>
      <c r="F193" s="14">
        <v>80</v>
      </c>
      <c r="G193" s="16">
        <f>(D193+D194)*E193/F193</f>
        <v>0.625</v>
      </c>
      <c r="H193" s="17">
        <f>G193*$K$3</f>
        <v>9.0625</v>
      </c>
    </row>
    <row r="194" spans="1:8" ht="15.75" x14ac:dyDescent="0.45">
      <c r="A194" s="18"/>
      <c r="B194" s="19"/>
      <c r="C194" s="12" t="s">
        <v>48</v>
      </c>
      <c r="D194" s="13">
        <v>1</v>
      </c>
      <c r="E194" s="14"/>
      <c r="F194" s="14"/>
      <c r="G194" s="31"/>
      <c r="H194" s="32"/>
    </row>
    <row r="195" spans="1:8" ht="31.5" x14ac:dyDescent="0.45">
      <c r="A195" s="18"/>
      <c r="B195" s="19"/>
      <c r="C195" s="21" t="s">
        <v>12</v>
      </c>
      <c r="D195" s="22">
        <v>0.2</v>
      </c>
      <c r="E195" s="23">
        <f t="shared" ref="E195:F195" si="31">E193</f>
        <v>10</v>
      </c>
      <c r="F195" s="23">
        <f t="shared" si="31"/>
        <v>80</v>
      </c>
      <c r="G195" s="25">
        <f>D195*E195/F195</f>
        <v>2.5000000000000001E-2</v>
      </c>
      <c r="H195" s="22">
        <f>G195*O$1022</f>
        <v>0</v>
      </c>
    </row>
    <row r="196" spans="1:8" ht="47.25" x14ac:dyDescent="0.45">
      <c r="A196" s="26"/>
      <c r="B196" s="27"/>
      <c r="C196" s="21" t="s">
        <v>36</v>
      </c>
      <c r="D196" s="22">
        <v>0.5</v>
      </c>
      <c r="E196" s="23"/>
      <c r="F196" s="23"/>
      <c r="G196" s="25">
        <f>D196*E195/F195</f>
        <v>6.25E-2</v>
      </c>
      <c r="H196" s="22">
        <f>G196*$O$1029</f>
        <v>0</v>
      </c>
    </row>
    <row r="197" spans="1:8" ht="15.75" x14ac:dyDescent="0.45">
      <c r="A197" s="43"/>
      <c r="B197" s="1"/>
      <c r="C197" s="1"/>
      <c r="D197" s="44"/>
      <c r="E197" s="61"/>
      <c r="F197" s="61"/>
      <c r="G197" s="45"/>
      <c r="H197" s="44"/>
    </row>
    <row r="198" spans="1:8" ht="31.5" x14ac:dyDescent="0.45">
      <c r="A198" s="10" t="s">
        <v>88</v>
      </c>
      <c r="B198" s="11" t="s">
        <v>65</v>
      </c>
      <c r="C198" s="12" t="s">
        <v>11</v>
      </c>
      <c r="D198" s="13">
        <v>4</v>
      </c>
      <c r="E198" s="14">
        <f>E193</f>
        <v>10</v>
      </c>
      <c r="F198" s="14">
        <v>110</v>
      </c>
      <c r="G198" s="16">
        <f>(D198+D199)*E198/F198</f>
        <v>0.45454545454545453</v>
      </c>
      <c r="H198" s="17">
        <f>G198*$K$3</f>
        <v>6.5909090909090908</v>
      </c>
    </row>
    <row r="199" spans="1:8" ht="15.75" x14ac:dyDescent="0.45">
      <c r="A199" s="18"/>
      <c r="B199" s="19"/>
      <c r="C199" s="12" t="s">
        <v>48</v>
      </c>
      <c r="D199" s="13">
        <v>1</v>
      </c>
      <c r="E199" s="14"/>
      <c r="F199" s="14"/>
      <c r="G199" s="31"/>
      <c r="H199" s="32"/>
    </row>
    <row r="200" spans="1:8" ht="31.5" x14ac:dyDescent="0.45">
      <c r="A200" s="18"/>
      <c r="B200" s="19"/>
      <c r="C200" s="21" t="s">
        <v>12</v>
      </c>
      <c r="D200" s="22">
        <v>0.2</v>
      </c>
      <c r="E200" s="23">
        <f t="shared" ref="E200:F200" si="32">E198</f>
        <v>10</v>
      </c>
      <c r="F200" s="23">
        <f t="shared" si="32"/>
        <v>110</v>
      </c>
      <c r="G200" s="25">
        <f>D200*E200/F200</f>
        <v>1.8181818181818181E-2</v>
      </c>
      <c r="H200" s="22">
        <f>G200*O$1022</f>
        <v>0</v>
      </c>
    </row>
    <row r="201" spans="1:8" ht="15.75" x14ac:dyDescent="0.45">
      <c r="A201" s="26"/>
      <c r="B201" s="27"/>
      <c r="C201" s="21" t="s">
        <v>49</v>
      </c>
      <c r="D201" s="22">
        <v>0.5</v>
      </c>
      <c r="E201" s="23"/>
      <c r="F201" s="23"/>
      <c r="G201" s="25">
        <f>D201*E200/F200</f>
        <v>4.5454545454545456E-2</v>
      </c>
      <c r="H201" s="22">
        <f>G201*$O$1039</f>
        <v>0</v>
      </c>
    </row>
    <row r="202" spans="1:8" ht="15.75" x14ac:dyDescent="0.45">
      <c r="A202" s="43"/>
      <c r="B202" s="1"/>
      <c r="C202" s="1"/>
      <c r="D202" s="44"/>
      <c r="E202" s="61"/>
      <c r="F202" s="61"/>
      <c r="G202" s="45"/>
      <c r="H202" s="44"/>
    </row>
    <row r="203" spans="1:8" ht="31.5" x14ac:dyDescent="0.45">
      <c r="A203" s="10" t="s">
        <v>89</v>
      </c>
      <c r="B203" s="11" t="s">
        <v>65</v>
      </c>
      <c r="C203" s="12" t="s">
        <v>11</v>
      </c>
      <c r="D203" s="13">
        <v>4</v>
      </c>
      <c r="E203" s="14">
        <v>10</v>
      </c>
      <c r="F203" s="14">
        <v>500</v>
      </c>
      <c r="G203" s="16">
        <f>(D203+D204)*E203/F203</f>
        <v>0.1</v>
      </c>
      <c r="H203" s="17">
        <f>G203*$K$3</f>
        <v>1.4500000000000002</v>
      </c>
    </row>
    <row r="204" spans="1:8" ht="15.75" x14ac:dyDescent="0.45">
      <c r="A204" s="18"/>
      <c r="B204" s="19"/>
      <c r="C204" s="12" t="s">
        <v>48</v>
      </c>
      <c r="D204" s="13">
        <v>1</v>
      </c>
      <c r="E204" s="14"/>
      <c r="F204" s="14"/>
      <c r="G204" s="31"/>
      <c r="H204" s="32"/>
    </row>
    <row r="205" spans="1:8" ht="31.5" x14ac:dyDescent="0.45">
      <c r="A205" s="18"/>
      <c r="B205" s="19"/>
      <c r="C205" s="21" t="s">
        <v>12</v>
      </c>
      <c r="D205" s="22">
        <v>0.2</v>
      </c>
      <c r="E205" s="23">
        <f t="shared" ref="E205:F205" si="33">E203</f>
        <v>10</v>
      </c>
      <c r="F205" s="23">
        <f t="shared" si="33"/>
        <v>500</v>
      </c>
      <c r="G205" s="25">
        <f>D205*E205/F205</f>
        <v>4.0000000000000001E-3</v>
      </c>
      <c r="H205" s="22">
        <f>G205*O$1022</f>
        <v>0</v>
      </c>
    </row>
    <row r="206" spans="1:8" ht="15.75" x14ac:dyDescent="0.45">
      <c r="A206" s="26"/>
      <c r="B206" s="27"/>
      <c r="C206" s="21" t="s">
        <v>49</v>
      </c>
      <c r="D206" s="22">
        <v>0.5</v>
      </c>
      <c r="E206" s="23"/>
      <c r="F206" s="23"/>
      <c r="G206" s="25">
        <f>D206*E205/F205</f>
        <v>0.01</v>
      </c>
      <c r="H206" s="22">
        <f>G206*$O$1039</f>
        <v>0</v>
      </c>
    </row>
    <row r="207" spans="1:8" ht="15.75" x14ac:dyDescent="0.45">
      <c r="A207" s="43"/>
      <c r="B207" s="1"/>
      <c r="C207" s="1"/>
      <c r="D207" s="44"/>
      <c r="E207" s="61"/>
      <c r="F207" s="61"/>
      <c r="G207" s="45"/>
      <c r="H207" s="44"/>
    </row>
    <row r="208" spans="1:8" ht="31.5" x14ac:dyDescent="0.45">
      <c r="A208" s="10" t="s">
        <v>90</v>
      </c>
      <c r="B208" s="11" t="s">
        <v>65</v>
      </c>
      <c r="C208" s="12" t="s">
        <v>11</v>
      </c>
      <c r="D208" s="13">
        <v>4</v>
      </c>
      <c r="E208" s="14">
        <f>E193</f>
        <v>10</v>
      </c>
      <c r="F208" s="14">
        <f>3*50</f>
        <v>150</v>
      </c>
      <c r="G208" s="16">
        <f>(D208+D209)*E208/F208</f>
        <v>0.33333333333333331</v>
      </c>
      <c r="H208" s="17">
        <f>G208*$K$3</f>
        <v>4.833333333333333</v>
      </c>
    </row>
    <row r="209" spans="1:8" ht="15.75" x14ac:dyDescent="0.45">
      <c r="A209" s="18"/>
      <c r="B209" s="19"/>
      <c r="C209" s="12" t="s">
        <v>48</v>
      </c>
      <c r="D209" s="13">
        <v>1</v>
      </c>
      <c r="E209" s="14"/>
      <c r="F209" s="14"/>
      <c r="G209" s="31"/>
      <c r="H209" s="32"/>
    </row>
    <row r="210" spans="1:8" ht="31.5" x14ac:dyDescent="0.45">
      <c r="A210" s="18"/>
      <c r="B210" s="19"/>
      <c r="C210" s="21" t="s">
        <v>12</v>
      </c>
      <c r="D210" s="22">
        <v>0.05</v>
      </c>
      <c r="E210" s="23">
        <f t="shared" ref="E210:F210" si="34">E208</f>
        <v>10</v>
      </c>
      <c r="F210" s="23">
        <f t="shared" si="34"/>
        <v>150</v>
      </c>
      <c r="G210" s="25">
        <f>D210*E210/F210</f>
        <v>3.3333333333333335E-3</v>
      </c>
      <c r="H210" s="22">
        <f>G210*O$1022</f>
        <v>0</v>
      </c>
    </row>
    <row r="211" spans="1:8" ht="31.5" x14ac:dyDescent="0.45">
      <c r="A211" s="26"/>
      <c r="B211" s="27"/>
      <c r="C211" s="21" t="s">
        <v>43</v>
      </c>
      <c r="D211" s="22">
        <v>0</v>
      </c>
      <c r="E211" s="23"/>
      <c r="F211" s="23"/>
      <c r="G211" s="25">
        <f>D211*E210/F210</f>
        <v>0</v>
      </c>
      <c r="H211" s="22">
        <f>G211*$O$1030</f>
        <v>0</v>
      </c>
    </row>
    <row r="212" spans="1:8" ht="15.75" x14ac:dyDescent="0.45">
      <c r="A212" s="43"/>
      <c r="B212" s="1"/>
      <c r="C212" s="1"/>
      <c r="D212" s="44"/>
      <c r="E212" s="44"/>
      <c r="F212" s="44"/>
      <c r="G212" s="45"/>
      <c r="H212" s="44"/>
    </row>
    <row r="213" spans="1:8" ht="31.5" x14ac:dyDescent="0.45">
      <c r="A213" s="10" t="s">
        <v>91</v>
      </c>
      <c r="B213" s="11" t="s">
        <v>65</v>
      </c>
      <c r="C213" s="12" t="s">
        <v>11</v>
      </c>
      <c r="D213" s="13">
        <v>4</v>
      </c>
      <c r="E213" s="14">
        <f>E208</f>
        <v>10</v>
      </c>
      <c r="F213" s="14">
        <f>3*90</f>
        <v>270</v>
      </c>
      <c r="G213" s="16">
        <f>(D213+D214)*E213/F213</f>
        <v>0.18518518518518517</v>
      </c>
      <c r="H213" s="17">
        <f>G213*$K$3</f>
        <v>2.6851851851851851</v>
      </c>
    </row>
    <row r="214" spans="1:8" ht="15.75" x14ac:dyDescent="0.45">
      <c r="A214" s="18"/>
      <c r="B214" s="19"/>
      <c r="C214" s="12" t="s">
        <v>48</v>
      </c>
      <c r="D214" s="13">
        <v>1</v>
      </c>
      <c r="E214" s="14"/>
      <c r="F214" s="14"/>
      <c r="G214" s="31"/>
      <c r="H214" s="32"/>
    </row>
    <row r="215" spans="1:8" ht="31.5" x14ac:dyDescent="0.45">
      <c r="A215" s="18"/>
      <c r="B215" s="19"/>
      <c r="C215" s="21" t="s">
        <v>12</v>
      </c>
      <c r="D215" s="22">
        <v>0.05</v>
      </c>
      <c r="E215" s="23">
        <f t="shared" ref="E215:F215" si="35">E213</f>
        <v>10</v>
      </c>
      <c r="F215" s="23">
        <f t="shared" si="35"/>
        <v>270</v>
      </c>
      <c r="G215" s="25">
        <f>D215*E215/F215</f>
        <v>1.8518518518518519E-3</v>
      </c>
      <c r="H215" s="22">
        <f>G215*O$1022</f>
        <v>0</v>
      </c>
    </row>
    <row r="216" spans="1:8" ht="31.5" x14ac:dyDescent="0.45">
      <c r="A216" s="26"/>
      <c r="B216" s="27"/>
      <c r="C216" s="21" t="s">
        <v>43</v>
      </c>
      <c r="D216" s="22">
        <v>0</v>
      </c>
      <c r="E216" s="23"/>
      <c r="F216" s="23"/>
      <c r="G216" s="25">
        <f>D216*E215/F215</f>
        <v>0</v>
      </c>
      <c r="H216" s="22">
        <f>G216*$O$1030</f>
        <v>0</v>
      </c>
    </row>
    <row r="217" spans="1:8" ht="15.75" x14ac:dyDescent="0.45">
      <c r="A217" s="43"/>
      <c r="B217" s="1"/>
      <c r="C217" s="1"/>
      <c r="D217" s="44"/>
      <c r="E217" s="44"/>
      <c r="F217" s="44"/>
      <c r="G217" s="45"/>
      <c r="H217" s="44"/>
    </row>
    <row r="218" spans="1:8" ht="31.5" x14ac:dyDescent="0.45">
      <c r="A218" s="10" t="s">
        <v>92</v>
      </c>
      <c r="B218" s="11" t="s">
        <v>65</v>
      </c>
      <c r="C218" s="12" t="s">
        <v>11</v>
      </c>
      <c r="D218" s="13">
        <v>4</v>
      </c>
      <c r="E218" s="14">
        <f>E213</f>
        <v>10</v>
      </c>
      <c r="F218" s="62">
        <f>3*150</f>
        <v>450</v>
      </c>
      <c r="G218" s="16">
        <f>(D218+D219)*E218/F218</f>
        <v>0.1111111111111111</v>
      </c>
      <c r="H218" s="17">
        <f>G218*$K$3</f>
        <v>1.6111111111111109</v>
      </c>
    </row>
    <row r="219" spans="1:8" ht="15.75" x14ac:dyDescent="0.45">
      <c r="A219" s="18"/>
      <c r="B219" s="19"/>
      <c r="C219" s="12" t="s">
        <v>48</v>
      </c>
      <c r="D219" s="13">
        <v>1</v>
      </c>
      <c r="E219" s="14"/>
      <c r="F219" s="62"/>
      <c r="G219" s="31"/>
      <c r="H219" s="32"/>
    </row>
    <row r="220" spans="1:8" ht="31.5" x14ac:dyDescent="0.45">
      <c r="A220" s="18"/>
      <c r="B220" s="19"/>
      <c r="C220" s="21" t="s">
        <v>12</v>
      </c>
      <c r="D220" s="22">
        <v>0.05</v>
      </c>
      <c r="E220" s="23">
        <f t="shared" ref="E220:F220" si="36">E218</f>
        <v>10</v>
      </c>
      <c r="F220" s="23">
        <f t="shared" si="36"/>
        <v>450</v>
      </c>
      <c r="G220" s="25">
        <f>D220*E220/F220</f>
        <v>1.1111111111111111E-3</v>
      </c>
      <c r="H220" s="22">
        <f>G220*O$1022</f>
        <v>0</v>
      </c>
    </row>
    <row r="221" spans="1:8" ht="31.5" x14ac:dyDescent="0.45">
      <c r="A221" s="26"/>
      <c r="B221" s="27"/>
      <c r="C221" s="21" t="s">
        <v>43</v>
      </c>
      <c r="D221" s="22">
        <v>0</v>
      </c>
      <c r="E221" s="23"/>
      <c r="F221" s="23"/>
      <c r="G221" s="25">
        <f>D221*E220/F220</f>
        <v>0</v>
      </c>
      <c r="H221" s="22">
        <f>G221*$O$1030</f>
        <v>0</v>
      </c>
    </row>
    <row r="222" spans="1:8" ht="15.75" x14ac:dyDescent="0.45">
      <c r="A222" s="43"/>
      <c r="B222" s="1"/>
      <c r="C222" s="1"/>
      <c r="D222" s="44"/>
      <c r="E222" s="44"/>
      <c r="F222" s="44"/>
      <c r="G222" s="45"/>
      <c r="H222" s="44"/>
    </row>
    <row r="223" spans="1:8" ht="31.5" x14ac:dyDescent="0.45">
      <c r="A223" s="10" t="s">
        <v>93</v>
      </c>
      <c r="B223" s="11" t="s">
        <v>65</v>
      </c>
      <c r="C223" s="12" t="s">
        <v>11</v>
      </c>
      <c r="D223" s="13">
        <v>4</v>
      </c>
      <c r="E223" s="14">
        <f>E218</f>
        <v>10</v>
      </c>
      <c r="F223" s="14">
        <f>3*300</f>
        <v>900</v>
      </c>
      <c r="G223" s="16">
        <f>(D223+D224)*E223/F223</f>
        <v>5.5555555555555552E-2</v>
      </c>
      <c r="H223" s="17">
        <f>G223*$K$3</f>
        <v>0.80555555555555547</v>
      </c>
    </row>
    <row r="224" spans="1:8" ht="15.75" x14ac:dyDescent="0.45">
      <c r="A224" s="18"/>
      <c r="B224" s="19"/>
      <c r="C224" s="12" t="s">
        <v>48</v>
      </c>
      <c r="D224" s="13">
        <v>1</v>
      </c>
      <c r="E224" s="14"/>
      <c r="F224" s="14"/>
      <c r="G224" s="31"/>
      <c r="H224" s="32"/>
    </row>
    <row r="225" spans="1:8" ht="31.5" x14ac:dyDescent="0.45">
      <c r="A225" s="18"/>
      <c r="B225" s="19"/>
      <c r="C225" s="21" t="s">
        <v>12</v>
      </c>
      <c r="D225" s="22">
        <v>0.05</v>
      </c>
      <c r="E225" s="23">
        <f t="shared" ref="E225:F225" si="37">E223</f>
        <v>10</v>
      </c>
      <c r="F225" s="23">
        <f t="shared" si="37"/>
        <v>900</v>
      </c>
      <c r="G225" s="25">
        <f>D225*E225/F225</f>
        <v>5.5555555555555556E-4</v>
      </c>
      <c r="H225" s="22">
        <f>G225*O$1022</f>
        <v>0</v>
      </c>
    </row>
    <row r="226" spans="1:8" ht="31.5" x14ac:dyDescent="0.45">
      <c r="A226" s="26"/>
      <c r="B226" s="27"/>
      <c r="C226" s="21" t="s">
        <v>43</v>
      </c>
      <c r="D226" s="22">
        <v>0</v>
      </c>
      <c r="E226" s="23"/>
      <c r="F226" s="23"/>
      <c r="G226" s="25">
        <f>D226*E225/F225</f>
        <v>0</v>
      </c>
      <c r="H226" s="22">
        <f>G226*$O$1030</f>
        <v>0</v>
      </c>
    </row>
    <row r="227" spans="1:8" ht="15.75" x14ac:dyDescent="0.45">
      <c r="A227" s="43"/>
      <c r="B227" s="1"/>
      <c r="C227" s="1"/>
      <c r="D227" s="44"/>
      <c r="E227" s="44"/>
      <c r="F227" s="44"/>
      <c r="G227" s="45"/>
      <c r="H227" s="44"/>
    </row>
    <row r="228" spans="1:8" ht="31.5" x14ac:dyDescent="0.45">
      <c r="A228" s="10" t="s">
        <v>94</v>
      </c>
      <c r="B228" s="11" t="s">
        <v>22</v>
      </c>
      <c r="C228" s="12" t="s">
        <v>11</v>
      </c>
      <c r="D228" s="13">
        <v>5</v>
      </c>
      <c r="E228" s="14">
        <f>E223</f>
        <v>10</v>
      </c>
      <c r="F228" s="14">
        <v>350</v>
      </c>
      <c r="G228" s="16">
        <f>(D228+D229)*E228/F228</f>
        <v>0.17142857142857143</v>
      </c>
      <c r="H228" s="17">
        <f>G228*$K$3</f>
        <v>2.4857142857142858</v>
      </c>
    </row>
    <row r="229" spans="1:8" ht="15.75" x14ac:dyDescent="0.45">
      <c r="A229" s="18"/>
      <c r="B229" s="19"/>
      <c r="C229" s="12" t="s">
        <v>48</v>
      </c>
      <c r="D229" s="13">
        <v>1</v>
      </c>
      <c r="E229" s="14"/>
      <c r="F229" s="14"/>
      <c r="G229" s="31"/>
      <c r="H229" s="32"/>
    </row>
    <row r="230" spans="1:8" ht="31.5" x14ac:dyDescent="0.45">
      <c r="A230" s="18"/>
      <c r="B230" s="19"/>
      <c r="C230" s="21" t="s">
        <v>12</v>
      </c>
      <c r="D230" s="22">
        <v>0.5</v>
      </c>
      <c r="E230" s="23">
        <f t="shared" ref="E230:F230" si="38">E228</f>
        <v>10</v>
      </c>
      <c r="F230" s="23">
        <f t="shared" si="38"/>
        <v>350</v>
      </c>
      <c r="G230" s="25">
        <f>D230*E230/F230</f>
        <v>1.4285714285714285E-2</v>
      </c>
      <c r="H230" s="22">
        <f>G230*O$1022</f>
        <v>0</v>
      </c>
    </row>
    <row r="231" spans="1:8" ht="31.5" x14ac:dyDescent="0.45">
      <c r="A231" s="18"/>
      <c r="B231" s="19"/>
      <c r="C231" s="21" t="s">
        <v>95</v>
      </c>
      <c r="D231" s="22">
        <v>1</v>
      </c>
      <c r="E231" s="23"/>
      <c r="F231" s="23"/>
      <c r="G231" s="25">
        <f>D231*E230/F230</f>
        <v>2.8571428571428571E-2</v>
      </c>
      <c r="H231" s="22">
        <f>G231*$O$1053</f>
        <v>0</v>
      </c>
    </row>
    <row r="232" spans="1:8" ht="15.75" x14ac:dyDescent="0.45">
      <c r="A232" s="26"/>
      <c r="B232" s="27"/>
      <c r="C232" s="21" t="s">
        <v>49</v>
      </c>
      <c r="D232" s="22">
        <v>1</v>
      </c>
      <c r="E232" s="23"/>
      <c r="F232" s="23"/>
      <c r="G232" s="25">
        <f>D232*E230/F230</f>
        <v>2.8571428571428571E-2</v>
      </c>
      <c r="H232" s="22">
        <f>G232*$O$1039</f>
        <v>0</v>
      </c>
    </row>
    <row r="233" spans="1:8" ht="15.75" x14ac:dyDescent="0.45">
      <c r="A233" s="63"/>
      <c r="B233" s="63"/>
      <c r="C233" s="63"/>
      <c r="D233" s="39"/>
      <c r="E233" s="64"/>
      <c r="F233" s="64"/>
      <c r="G233" s="65"/>
      <c r="H233" s="66"/>
    </row>
    <row r="234" spans="1:8" ht="31.5" x14ac:dyDescent="0.45">
      <c r="A234" s="10" t="s">
        <v>96</v>
      </c>
      <c r="B234" s="10" t="s">
        <v>9</v>
      </c>
      <c r="C234" s="12" t="s">
        <v>10</v>
      </c>
      <c r="D234" s="13">
        <v>1</v>
      </c>
      <c r="E234" s="14">
        <f>E228</f>
        <v>10</v>
      </c>
      <c r="F234" s="14">
        <v>160</v>
      </c>
      <c r="G234" s="16">
        <f>(D234+D235)*E234/F234</f>
        <v>0.25</v>
      </c>
      <c r="H234" s="17">
        <f>G234*$K$3</f>
        <v>3.625</v>
      </c>
    </row>
    <row r="235" spans="1:8" ht="31.5" x14ac:dyDescent="0.45">
      <c r="A235" s="18"/>
      <c r="B235" s="18"/>
      <c r="C235" s="12" t="s">
        <v>11</v>
      </c>
      <c r="D235" s="13">
        <v>3</v>
      </c>
      <c r="E235" s="14"/>
      <c r="F235" s="14"/>
      <c r="G235" s="31"/>
      <c r="H235" s="32"/>
    </row>
    <row r="236" spans="1:8" ht="63" x14ac:dyDescent="0.45">
      <c r="A236" s="18"/>
      <c r="B236" s="18"/>
      <c r="C236" s="21" t="s">
        <v>39</v>
      </c>
      <c r="D236" s="22">
        <v>1</v>
      </c>
      <c r="E236" s="23">
        <f t="shared" ref="E236:F236" si="39">E234</f>
        <v>10</v>
      </c>
      <c r="F236" s="23">
        <f t="shared" si="39"/>
        <v>160</v>
      </c>
      <c r="G236" s="25">
        <f>D236*E236/F236</f>
        <v>6.25E-2</v>
      </c>
      <c r="H236" s="22">
        <f>G236*$O$1038</f>
        <v>0</v>
      </c>
    </row>
    <row r="237" spans="1:8" ht="31.5" x14ac:dyDescent="0.45">
      <c r="A237" s="18"/>
      <c r="B237" s="18"/>
      <c r="C237" s="21" t="s">
        <v>97</v>
      </c>
      <c r="D237" s="22">
        <v>0.25</v>
      </c>
      <c r="E237" s="23"/>
      <c r="F237" s="23"/>
      <c r="G237" s="25">
        <f>D237*E236/F236</f>
        <v>1.5625E-2</v>
      </c>
      <c r="H237" s="22">
        <f>G237*O$1027</f>
        <v>0</v>
      </c>
    </row>
    <row r="238" spans="1:8" ht="31.5" x14ac:dyDescent="0.45">
      <c r="A238" s="26"/>
      <c r="B238" s="26"/>
      <c r="C238" s="21" t="s">
        <v>43</v>
      </c>
      <c r="D238" s="22">
        <v>0.5</v>
      </c>
      <c r="E238" s="23"/>
      <c r="F238" s="23"/>
      <c r="G238" s="25">
        <f>D238*E236/F236</f>
        <v>3.125E-2</v>
      </c>
      <c r="H238" s="22">
        <f>G238*$O$1030</f>
        <v>0</v>
      </c>
    </row>
    <row r="239" spans="1:8" ht="15.75" x14ac:dyDescent="0.45">
      <c r="A239" s="43"/>
      <c r="B239" s="1"/>
      <c r="C239" s="1"/>
      <c r="D239" s="44"/>
      <c r="E239" s="44"/>
      <c r="F239" s="44"/>
      <c r="G239" s="45"/>
      <c r="H239" s="44"/>
    </row>
    <row r="240" spans="1:8" ht="31.5" x14ac:dyDescent="0.45">
      <c r="A240" s="10" t="s">
        <v>98</v>
      </c>
      <c r="B240" s="11" t="s">
        <v>65</v>
      </c>
      <c r="C240" s="12" t="s">
        <v>11</v>
      </c>
      <c r="D240" s="13">
        <v>1</v>
      </c>
      <c r="E240" s="14">
        <f>E234</f>
        <v>10</v>
      </c>
      <c r="F240" s="14">
        <v>8</v>
      </c>
      <c r="G240" s="16">
        <f>(D240+D241)*E240/F240</f>
        <v>2.5</v>
      </c>
      <c r="H240" s="17">
        <f>G240*$K$3</f>
        <v>36.25</v>
      </c>
    </row>
    <row r="241" spans="1:8" ht="15.75" x14ac:dyDescent="0.45">
      <c r="A241" s="26"/>
      <c r="B241" s="27"/>
      <c r="C241" s="12" t="s">
        <v>48</v>
      </c>
      <c r="D241" s="13">
        <v>1</v>
      </c>
      <c r="E241" s="14"/>
      <c r="F241" s="14"/>
      <c r="G241" s="31"/>
      <c r="H241" s="32"/>
    </row>
    <row r="242" spans="1:8" ht="15.75" x14ac:dyDescent="0.45">
      <c r="A242" s="43"/>
      <c r="B242" s="1"/>
      <c r="C242" s="1"/>
      <c r="D242" s="44"/>
      <c r="E242" s="44"/>
      <c r="F242" s="44"/>
      <c r="G242" s="45"/>
      <c r="H242" s="44"/>
    </row>
    <row r="243" spans="1:8" ht="31.5" x14ac:dyDescent="0.45">
      <c r="A243" s="10" t="s">
        <v>99</v>
      </c>
      <c r="B243" s="11" t="s">
        <v>65</v>
      </c>
      <c r="C243" s="12" t="s">
        <v>11</v>
      </c>
      <c r="D243" s="13">
        <v>2</v>
      </c>
      <c r="E243" s="14">
        <f>E240</f>
        <v>10</v>
      </c>
      <c r="F243" s="13">
        <f>4*25</f>
        <v>100</v>
      </c>
      <c r="G243" s="16">
        <f>(D243+D244)*E243/F243</f>
        <v>0.3</v>
      </c>
      <c r="H243" s="17">
        <f>G243*$K$3</f>
        <v>4.3499999999999996</v>
      </c>
    </row>
    <row r="244" spans="1:8" ht="15.75" x14ac:dyDescent="0.45">
      <c r="A244" s="18"/>
      <c r="B244" s="19"/>
      <c r="C244" s="12" t="s">
        <v>48</v>
      </c>
      <c r="D244" s="13">
        <v>1</v>
      </c>
      <c r="E244" s="14"/>
      <c r="F244" s="13"/>
      <c r="G244" s="31"/>
      <c r="H244" s="32"/>
    </row>
    <row r="245" spans="1:8" ht="15.75" x14ac:dyDescent="0.45">
      <c r="A245" s="26"/>
      <c r="B245" s="27"/>
      <c r="C245" s="21" t="s">
        <v>49</v>
      </c>
      <c r="D245" s="22">
        <v>0.2</v>
      </c>
      <c r="E245" s="23">
        <f>E240</f>
        <v>10</v>
      </c>
      <c r="F245" s="23">
        <f>F243</f>
        <v>100</v>
      </c>
      <c r="G245" s="25">
        <f>D245*E245/F245</f>
        <v>0.02</v>
      </c>
      <c r="H245" s="22">
        <f>G245*$O$1039</f>
        <v>0</v>
      </c>
    </row>
    <row r="246" spans="1:8" ht="15.75" x14ac:dyDescent="0.45">
      <c r="A246" s="43"/>
      <c r="B246" s="1"/>
      <c r="C246" s="1"/>
      <c r="D246" s="44"/>
      <c r="E246" s="44"/>
      <c r="F246" s="44"/>
      <c r="G246" s="45"/>
      <c r="H246" s="44"/>
    </row>
    <row r="247" spans="1:8" ht="31.5" x14ac:dyDescent="0.45">
      <c r="A247" s="10" t="s">
        <v>100</v>
      </c>
      <c r="B247" s="11" t="s">
        <v>101</v>
      </c>
      <c r="C247" s="12" t="s">
        <v>11</v>
      </c>
      <c r="D247" s="13">
        <v>2</v>
      </c>
      <c r="E247" s="14">
        <f>E243</f>
        <v>10</v>
      </c>
      <c r="F247" s="13">
        <v>90</v>
      </c>
      <c r="G247" s="16">
        <f>(D247+D248)*E247/F247</f>
        <v>0.24444444444444444</v>
      </c>
      <c r="H247" s="17">
        <f>G247*$K$3</f>
        <v>3.5444444444444443</v>
      </c>
    </row>
    <row r="248" spans="1:8" ht="15.75" x14ac:dyDescent="0.45">
      <c r="A248" s="26"/>
      <c r="B248" s="27"/>
      <c r="C248" s="12" t="s">
        <v>48</v>
      </c>
      <c r="D248" s="13">
        <v>0.2</v>
      </c>
      <c r="E248" s="14"/>
      <c r="F248" s="13"/>
      <c r="G248" s="31"/>
      <c r="H248" s="32"/>
    </row>
    <row r="249" spans="1:8" ht="15.75" x14ac:dyDescent="0.45">
      <c r="A249" s="1"/>
      <c r="B249" s="1"/>
      <c r="C249" s="1"/>
      <c r="D249" s="44"/>
      <c r="E249" s="61"/>
      <c r="F249" s="44"/>
      <c r="G249" s="45"/>
      <c r="H249" s="44"/>
    </row>
    <row r="250" spans="1:8" ht="31.5" x14ac:dyDescent="0.45">
      <c r="A250" s="10" t="s">
        <v>102</v>
      </c>
      <c r="B250" s="11" t="s">
        <v>22</v>
      </c>
      <c r="C250" s="12" t="s">
        <v>11</v>
      </c>
      <c r="D250" s="13">
        <v>3</v>
      </c>
      <c r="E250" s="14">
        <f>+E243</f>
        <v>10</v>
      </c>
      <c r="F250" s="14">
        <v>450</v>
      </c>
      <c r="G250" s="16">
        <f>(D250+D251)*E250/F250</f>
        <v>8.8888888888888892E-2</v>
      </c>
      <c r="H250" s="17">
        <f>G250*$K$3</f>
        <v>1.288888888888889</v>
      </c>
    </row>
    <row r="251" spans="1:8" ht="15.75" x14ac:dyDescent="0.45">
      <c r="A251" s="18"/>
      <c r="B251" s="19"/>
      <c r="C251" s="12" t="s">
        <v>48</v>
      </c>
      <c r="D251" s="13">
        <v>1</v>
      </c>
      <c r="E251" s="14"/>
      <c r="F251" s="14"/>
      <c r="G251" s="31"/>
      <c r="H251" s="32"/>
    </row>
    <row r="252" spans="1:8" ht="15.75" x14ac:dyDescent="0.45">
      <c r="A252" s="26"/>
      <c r="B252" s="27"/>
      <c r="C252" s="21" t="s">
        <v>49</v>
      </c>
      <c r="D252" s="22">
        <v>0.2</v>
      </c>
      <c r="E252" s="23">
        <f t="shared" ref="E252:F252" si="40">E250</f>
        <v>10</v>
      </c>
      <c r="F252" s="23">
        <f t="shared" si="40"/>
        <v>450</v>
      </c>
      <c r="G252" s="25">
        <f>D252*E252/F252</f>
        <v>4.4444444444444444E-3</v>
      </c>
      <c r="H252" s="22">
        <f>G252*$O$1039</f>
        <v>0</v>
      </c>
    </row>
    <row r="253" spans="1:8" ht="15.75" x14ac:dyDescent="0.45">
      <c r="A253" s="1"/>
      <c r="B253" s="1"/>
      <c r="C253" s="1"/>
      <c r="D253" s="44"/>
      <c r="E253" s="61"/>
      <c r="F253" s="44"/>
      <c r="G253" s="45"/>
      <c r="H253" s="44"/>
    </row>
    <row r="254" spans="1:8" ht="31.5" x14ac:dyDescent="0.45">
      <c r="A254" s="10" t="s">
        <v>103</v>
      </c>
      <c r="B254" s="11" t="s">
        <v>22</v>
      </c>
      <c r="C254" s="12" t="s">
        <v>11</v>
      </c>
      <c r="D254" s="13">
        <v>3</v>
      </c>
      <c r="E254" s="14">
        <f>+E247</f>
        <v>10</v>
      </c>
      <c r="F254" s="14">
        <v>800</v>
      </c>
      <c r="G254" s="16">
        <f>(D254+D255)*E254/F254</f>
        <v>0.05</v>
      </c>
      <c r="H254" s="17">
        <f>G254*$K$3</f>
        <v>0.72500000000000009</v>
      </c>
    </row>
    <row r="255" spans="1:8" ht="15.75" x14ac:dyDescent="0.45">
      <c r="A255" s="18"/>
      <c r="B255" s="19"/>
      <c r="C255" s="12" t="s">
        <v>48</v>
      </c>
      <c r="D255" s="13">
        <v>1</v>
      </c>
      <c r="E255" s="14"/>
      <c r="F255" s="14"/>
      <c r="G255" s="31"/>
      <c r="H255" s="32"/>
    </row>
    <row r="256" spans="1:8" ht="15.75" x14ac:dyDescent="0.45">
      <c r="A256" s="26"/>
      <c r="B256" s="27"/>
      <c r="C256" s="21" t="s">
        <v>49</v>
      </c>
      <c r="D256" s="22">
        <v>0.2</v>
      </c>
      <c r="E256" s="23">
        <f t="shared" ref="E256:F256" si="41">E254</f>
        <v>10</v>
      </c>
      <c r="F256" s="23">
        <f t="shared" si="41"/>
        <v>800</v>
      </c>
      <c r="G256" s="25">
        <f>D256*E256/F256</f>
        <v>2.5000000000000001E-3</v>
      </c>
      <c r="H256" s="22">
        <f>G256*$O$1039</f>
        <v>0</v>
      </c>
    </row>
    <row r="257" spans="1:8" ht="15.75" x14ac:dyDescent="0.45">
      <c r="A257" s="1"/>
      <c r="B257" s="1"/>
      <c r="C257" s="1"/>
      <c r="D257" s="44"/>
      <c r="E257" s="61"/>
      <c r="F257" s="61"/>
      <c r="G257" s="45"/>
      <c r="H257" s="44"/>
    </row>
    <row r="258" spans="1:8" ht="31.5" x14ac:dyDescent="0.45">
      <c r="A258" s="10" t="s">
        <v>104</v>
      </c>
      <c r="B258" s="11" t="s">
        <v>9</v>
      </c>
      <c r="C258" s="12" t="s">
        <v>11</v>
      </c>
      <c r="D258" s="13">
        <v>2</v>
      </c>
      <c r="E258" s="14">
        <v>10</v>
      </c>
      <c r="F258" s="14">
        <v>10</v>
      </c>
      <c r="G258" s="16">
        <f>(D258+D259)*E258/F258</f>
        <v>2</v>
      </c>
      <c r="H258" s="17">
        <f>G258*$K$3</f>
        <v>29</v>
      </c>
    </row>
    <row r="259" spans="1:8" ht="15.75" x14ac:dyDescent="0.45">
      <c r="A259" s="18"/>
      <c r="B259" s="19"/>
      <c r="C259" s="12" t="s">
        <v>48</v>
      </c>
      <c r="D259" s="13">
        <v>0</v>
      </c>
      <c r="E259" s="14"/>
      <c r="F259" s="14"/>
      <c r="G259" s="31"/>
      <c r="H259" s="32"/>
    </row>
    <row r="260" spans="1:8" ht="15.75" x14ac:dyDescent="0.45">
      <c r="A260" s="26"/>
      <c r="B260" s="27"/>
      <c r="C260" s="21" t="s">
        <v>49</v>
      </c>
      <c r="D260" s="22">
        <v>0.2</v>
      </c>
      <c r="E260" s="23">
        <f t="shared" ref="E260:F260" si="42">E258</f>
        <v>10</v>
      </c>
      <c r="F260" s="23">
        <f t="shared" si="42"/>
        <v>10</v>
      </c>
      <c r="G260" s="25">
        <f>D260*E260/F260</f>
        <v>0.2</v>
      </c>
      <c r="H260" s="22">
        <f>G260*$O$1039</f>
        <v>0</v>
      </c>
    </row>
    <row r="261" spans="1:8" ht="15.75" x14ac:dyDescent="0.45">
      <c r="A261" s="1"/>
      <c r="B261" s="1"/>
      <c r="C261" s="1"/>
      <c r="D261" s="44"/>
      <c r="E261" s="61"/>
      <c r="F261" s="61"/>
      <c r="G261" s="45"/>
      <c r="H261" s="44"/>
    </row>
    <row r="262" spans="1:8" ht="15.75" x14ac:dyDescent="0.45">
      <c r="A262" s="1"/>
      <c r="B262" s="1"/>
      <c r="C262" s="1"/>
      <c r="D262" s="44"/>
      <c r="E262" s="61"/>
      <c r="F262" s="61"/>
      <c r="G262" s="45"/>
      <c r="H262" s="44"/>
    </row>
    <row r="263" spans="1:8" ht="31.5" x14ac:dyDescent="0.45">
      <c r="A263" s="10" t="s">
        <v>105</v>
      </c>
      <c r="B263" s="11" t="s">
        <v>22</v>
      </c>
      <c r="C263" s="12" t="s">
        <v>11</v>
      </c>
      <c r="D263" s="13">
        <v>3</v>
      </c>
      <c r="E263" s="14">
        <v>10</v>
      </c>
      <c r="F263" s="14">
        <v>1000</v>
      </c>
      <c r="G263" s="16">
        <f>(D263+D264)*E263/F263</f>
        <v>0.04</v>
      </c>
      <c r="H263" s="17">
        <f>G263*$K$3</f>
        <v>0.57999999999999996</v>
      </c>
    </row>
    <row r="264" spans="1:8" ht="15.75" x14ac:dyDescent="0.45">
      <c r="A264" s="18"/>
      <c r="B264" s="19"/>
      <c r="C264" s="12" t="s">
        <v>48</v>
      </c>
      <c r="D264" s="13">
        <v>1</v>
      </c>
      <c r="E264" s="14"/>
      <c r="F264" s="14"/>
      <c r="G264" s="31"/>
      <c r="H264" s="32"/>
    </row>
    <row r="265" spans="1:8" ht="15.75" x14ac:dyDescent="0.45">
      <c r="A265" s="26"/>
      <c r="B265" s="27"/>
      <c r="C265" s="21" t="s">
        <v>49</v>
      </c>
      <c r="D265" s="22">
        <v>0.2</v>
      </c>
      <c r="E265" s="23">
        <f t="shared" ref="E265:F265" si="43">E263</f>
        <v>10</v>
      </c>
      <c r="F265" s="23">
        <f t="shared" si="43"/>
        <v>1000</v>
      </c>
      <c r="G265" s="25">
        <f>D265*E265/F265</f>
        <v>2E-3</v>
      </c>
      <c r="H265" s="22">
        <f>G265*$O$1039</f>
        <v>0</v>
      </c>
    </row>
    <row r="266" spans="1:8" ht="15.75" x14ac:dyDescent="0.45">
      <c r="A266" s="1"/>
      <c r="B266" s="1"/>
      <c r="C266" s="1"/>
      <c r="D266" s="44"/>
      <c r="E266" s="61"/>
      <c r="F266" s="61"/>
      <c r="G266" s="45"/>
      <c r="H266" s="44"/>
    </row>
    <row r="267" spans="1:8" ht="31.5" x14ac:dyDescent="0.45">
      <c r="A267" s="10" t="s">
        <v>106</v>
      </c>
      <c r="B267" s="11" t="s">
        <v>47</v>
      </c>
      <c r="C267" s="12" t="s">
        <v>11</v>
      </c>
      <c r="D267" s="13">
        <v>3</v>
      </c>
      <c r="E267" s="14">
        <v>10</v>
      </c>
      <c r="F267" s="14">
        <v>500</v>
      </c>
      <c r="G267" s="16">
        <f>(D267+D268)*E267/F267</f>
        <v>0.08</v>
      </c>
      <c r="H267" s="17">
        <f>G267*$K$3</f>
        <v>1.1599999999999999</v>
      </c>
    </row>
    <row r="268" spans="1:8" ht="15.75" x14ac:dyDescent="0.45">
      <c r="A268" s="18"/>
      <c r="B268" s="19"/>
      <c r="C268" s="12" t="s">
        <v>48</v>
      </c>
      <c r="D268" s="13">
        <v>1</v>
      </c>
      <c r="E268" s="14"/>
      <c r="F268" s="14"/>
      <c r="G268" s="31"/>
      <c r="H268" s="32"/>
    </row>
    <row r="269" spans="1:8" ht="15.75" x14ac:dyDescent="0.45">
      <c r="A269" s="26"/>
      <c r="B269" s="27"/>
      <c r="C269" s="21" t="s">
        <v>49</v>
      </c>
      <c r="D269" s="22">
        <v>0.2</v>
      </c>
      <c r="E269" s="23">
        <f t="shared" ref="E269:F269" si="44">E267</f>
        <v>10</v>
      </c>
      <c r="F269" s="23">
        <f t="shared" si="44"/>
        <v>500</v>
      </c>
      <c r="G269" s="25">
        <f>D269*E269/F269</f>
        <v>4.0000000000000001E-3</v>
      </c>
      <c r="H269" s="22">
        <f>G269*$O$1039</f>
        <v>0</v>
      </c>
    </row>
    <row r="270" spans="1:8" ht="15.75" x14ac:dyDescent="0.45">
      <c r="A270" s="1"/>
      <c r="B270" s="1"/>
      <c r="C270" s="1"/>
      <c r="D270" s="1"/>
      <c r="E270" s="67"/>
      <c r="F270" s="1"/>
      <c r="G270" s="68"/>
      <c r="H270" s="2"/>
    </row>
    <row r="271" spans="1:8" ht="31.5" x14ac:dyDescent="0.45">
      <c r="A271" s="10" t="s">
        <v>107</v>
      </c>
      <c r="B271" s="11" t="s">
        <v>65</v>
      </c>
      <c r="C271" s="12" t="s">
        <v>11</v>
      </c>
      <c r="D271" s="13">
        <v>6</v>
      </c>
      <c r="E271" s="14">
        <v>10</v>
      </c>
      <c r="F271" s="69">
        <f>2500*2</f>
        <v>5000</v>
      </c>
      <c r="G271" s="16">
        <f>(D271+D272)*E271/F271</f>
        <v>1.2E-2</v>
      </c>
      <c r="H271" s="17">
        <f>G271*$K$3</f>
        <v>0.17400000000000002</v>
      </c>
    </row>
    <row r="272" spans="1:8" ht="15.75" x14ac:dyDescent="0.45">
      <c r="A272" s="18"/>
      <c r="B272" s="19"/>
      <c r="C272" s="12" t="s">
        <v>48</v>
      </c>
      <c r="D272" s="13">
        <v>0</v>
      </c>
      <c r="E272" s="14"/>
      <c r="F272" s="69"/>
      <c r="G272" s="31"/>
      <c r="H272" s="32"/>
    </row>
    <row r="273" spans="1:8" ht="15.75" x14ac:dyDescent="0.45">
      <c r="A273" s="18"/>
      <c r="B273" s="19"/>
      <c r="C273" s="70" t="s">
        <v>108</v>
      </c>
      <c r="D273" s="22">
        <v>0</v>
      </c>
      <c r="E273" s="23">
        <f t="shared" ref="E273:F273" si="45">E271</f>
        <v>10</v>
      </c>
      <c r="F273" s="23">
        <f t="shared" si="45"/>
        <v>5000</v>
      </c>
      <c r="G273" s="25">
        <f>D273*E273/F273</f>
        <v>0</v>
      </c>
      <c r="H273" s="71">
        <f>G273*$O$1037</f>
        <v>0</v>
      </c>
    </row>
    <row r="274" spans="1:8" ht="15.75" x14ac:dyDescent="0.45">
      <c r="A274" s="26"/>
      <c r="B274" s="27"/>
      <c r="C274" s="21" t="s">
        <v>49</v>
      </c>
      <c r="D274" s="22">
        <v>2</v>
      </c>
      <c r="E274" s="23"/>
      <c r="F274" s="23"/>
      <c r="G274" s="25">
        <f>D274*E273/F273</f>
        <v>4.0000000000000001E-3</v>
      </c>
      <c r="H274" s="22">
        <f>G274*$O$1039</f>
        <v>0</v>
      </c>
    </row>
    <row r="275" spans="1:8" ht="15.75" x14ac:dyDescent="0.45">
      <c r="A275" s="1"/>
      <c r="B275" s="1"/>
      <c r="C275" s="1"/>
      <c r="D275" s="1"/>
      <c r="E275" s="67"/>
      <c r="F275" s="1"/>
      <c r="G275" s="68"/>
      <c r="H275" s="2"/>
    </row>
    <row r="276" spans="1:8" ht="31.5" x14ac:dyDescent="0.45">
      <c r="A276" s="10" t="s">
        <v>109</v>
      </c>
      <c r="B276" s="11" t="s">
        <v>65</v>
      </c>
      <c r="C276" s="12" t="s">
        <v>11</v>
      </c>
      <c r="D276" s="13">
        <v>6</v>
      </c>
      <c r="E276" s="14">
        <v>10</v>
      </c>
      <c r="F276" s="14">
        <f>2*2000</f>
        <v>4000</v>
      </c>
      <c r="G276" s="16">
        <f>(D276+D277)*E276/F276</f>
        <v>1.4999999999999999E-2</v>
      </c>
      <c r="H276" s="17">
        <f>G276*$K$3</f>
        <v>0.2175</v>
      </c>
    </row>
    <row r="277" spans="1:8" ht="15.75" x14ac:dyDescent="0.45">
      <c r="A277" s="18"/>
      <c r="B277" s="19"/>
      <c r="C277" s="12" t="s">
        <v>48</v>
      </c>
      <c r="D277" s="13">
        <v>0</v>
      </c>
      <c r="E277" s="14"/>
      <c r="F277" s="14"/>
      <c r="G277" s="31"/>
      <c r="H277" s="32"/>
    </row>
    <row r="278" spans="1:8" ht="15.75" x14ac:dyDescent="0.45">
      <c r="A278" s="18"/>
      <c r="B278" s="19"/>
      <c r="C278" s="70" t="s">
        <v>108</v>
      </c>
      <c r="D278" s="22">
        <v>0</v>
      </c>
      <c r="E278" s="23">
        <f t="shared" ref="E278:F278" si="46">E276</f>
        <v>10</v>
      </c>
      <c r="F278" s="23">
        <f t="shared" si="46"/>
        <v>4000</v>
      </c>
      <c r="G278" s="25">
        <f>D278*E278/F278</f>
        <v>0</v>
      </c>
      <c r="H278" s="71">
        <f>G278*$O$1037</f>
        <v>0</v>
      </c>
    </row>
    <row r="279" spans="1:8" ht="15.75" x14ac:dyDescent="0.45">
      <c r="A279" s="26"/>
      <c r="B279" s="27"/>
      <c r="C279" s="21" t="s">
        <v>49</v>
      </c>
      <c r="D279" s="22">
        <v>2</v>
      </c>
      <c r="E279" s="23"/>
      <c r="F279" s="23"/>
      <c r="G279" s="25">
        <f>D279*E278/F278</f>
        <v>5.0000000000000001E-3</v>
      </c>
      <c r="H279" s="22">
        <f>G279*$O$1039</f>
        <v>0</v>
      </c>
    </row>
    <row r="280" spans="1:8" ht="15.75" x14ac:dyDescent="0.45">
      <c r="A280" s="1"/>
      <c r="B280" s="1"/>
      <c r="C280" s="1"/>
      <c r="D280" s="1"/>
      <c r="E280" s="67"/>
      <c r="F280" s="1"/>
      <c r="G280" s="68"/>
      <c r="H280" s="2"/>
    </row>
    <row r="281" spans="1:8" ht="31.5" x14ac:dyDescent="0.45">
      <c r="A281" s="10" t="s">
        <v>110</v>
      </c>
      <c r="B281" s="11" t="s">
        <v>65</v>
      </c>
      <c r="C281" s="12" t="s">
        <v>11</v>
      </c>
      <c r="D281" s="13">
        <v>8</v>
      </c>
      <c r="E281" s="14">
        <v>10</v>
      </c>
      <c r="F281" s="69">
        <f>2*1500</f>
        <v>3000</v>
      </c>
      <c r="G281" s="16">
        <f>(D281+D282)*E281/F281</f>
        <v>2.6666666666666668E-2</v>
      </c>
      <c r="H281" s="17">
        <f>G281*$K$3</f>
        <v>0.38666666666666671</v>
      </c>
    </row>
    <row r="282" spans="1:8" ht="15.75" x14ac:dyDescent="0.45">
      <c r="A282" s="18"/>
      <c r="B282" s="19"/>
      <c r="C282" s="12" t="s">
        <v>48</v>
      </c>
      <c r="D282" s="13">
        <v>0</v>
      </c>
      <c r="E282" s="14"/>
      <c r="F282" s="69"/>
      <c r="G282" s="31"/>
      <c r="H282" s="32"/>
    </row>
    <row r="283" spans="1:8" ht="15.75" x14ac:dyDescent="0.45">
      <c r="A283" s="18"/>
      <c r="B283" s="19"/>
      <c r="C283" s="70" t="s">
        <v>108</v>
      </c>
      <c r="D283" s="22">
        <v>1</v>
      </c>
      <c r="E283" s="23">
        <f t="shared" ref="E283:F283" si="47">E281</f>
        <v>10</v>
      </c>
      <c r="F283" s="23">
        <f t="shared" si="47"/>
        <v>3000</v>
      </c>
      <c r="G283" s="25">
        <f>D283*E283/F283</f>
        <v>3.3333333333333335E-3</v>
      </c>
      <c r="H283" s="71">
        <f>G283*$O$1037</f>
        <v>0</v>
      </c>
    </row>
    <row r="284" spans="1:8" ht="15.75" x14ac:dyDescent="0.45">
      <c r="A284" s="26"/>
      <c r="B284" s="27"/>
      <c r="C284" s="21" t="s">
        <v>49</v>
      </c>
      <c r="D284" s="22">
        <v>2</v>
      </c>
      <c r="E284" s="23"/>
      <c r="F284" s="23"/>
      <c r="G284" s="25">
        <f>D284*E283/F283</f>
        <v>6.6666666666666671E-3</v>
      </c>
      <c r="H284" s="22">
        <f>G284*$O$1039</f>
        <v>0</v>
      </c>
    </row>
    <row r="285" spans="1:8" ht="15.75" x14ac:dyDescent="0.45">
      <c r="A285" s="1"/>
      <c r="B285" s="1"/>
      <c r="C285" s="1"/>
      <c r="D285" s="1"/>
      <c r="E285" s="67"/>
      <c r="F285" s="1"/>
      <c r="G285" s="68"/>
      <c r="H285" s="2"/>
    </row>
    <row r="286" spans="1:8" ht="31.5" x14ac:dyDescent="0.45">
      <c r="A286" s="10" t="s">
        <v>111</v>
      </c>
      <c r="B286" s="11" t="s">
        <v>65</v>
      </c>
      <c r="C286" s="12" t="s">
        <v>11</v>
      </c>
      <c r="D286" s="13">
        <v>8</v>
      </c>
      <c r="E286" s="14">
        <v>10</v>
      </c>
      <c r="F286" s="69">
        <v>3000</v>
      </c>
      <c r="G286" s="16">
        <f>(D286+D287)*E286/F286</f>
        <v>2.6666666666666668E-2</v>
      </c>
      <c r="H286" s="17">
        <f>G286*$K$3</f>
        <v>0.38666666666666671</v>
      </c>
    </row>
    <row r="287" spans="1:8" ht="15.75" x14ac:dyDescent="0.45">
      <c r="A287" s="18"/>
      <c r="B287" s="19"/>
      <c r="C287" s="12" t="s">
        <v>48</v>
      </c>
      <c r="D287" s="13">
        <v>0</v>
      </c>
      <c r="E287" s="14"/>
      <c r="F287" s="69"/>
      <c r="G287" s="31"/>
      <c r="H287" s="32"/>
    </row>
    <row r="288" spans="1:8" ht="15.75" x14ac:dyDescent="0.45">
      <c r="A288" s="18"/>
      <c r="B288" s="19"/>
      <c r="C288" s="70" t="s">
        <v>108</v>
      </c>
      <c r="D288" s="22">
        <v>0</v>
      </c>
      <c r="E288" s="23">
        <f t="shared" ref="E288:F288" si="48">E286</f>
        <v>10</v>
      </c>
      <c r="F288" s="23">
        <f t="shared" si="48"/>
        <v>3000</v>
      </c>
      <c r="G288" s="25">
        <f>D288*E288/F288</f>
        <v>0</v>
      </c>
      <c r="H288" s="71">
        <f>G288*$O$1037</f>
        <v>0</v>
      </c>
    </row>
    <row r="289" spans="1:8" ht="15.75" x14ac:dyDescent="0.45">
      <c r="A289" s="26"/>
      <c r="B289" s="27"/>
      <c r="C289" s="21" t="s">
        <v>49</v>
      </c>
      <c r="D289" s="22">
        <v>2</v>
      </c>
      <c r="E289" s="23"/>
      <c r="F289" s="23"/>
      <c r="G289" s="25">
        <f>D289*E288/F288</f>
        <v>6.6666666666666671E-3</v>
      </c>
      <c r="H289" s="22">
        <f>G289*$O$1039</f>
        <v>0</v>
      </c>
    </row>
    <row r="290" spans="1:8" ht="15.75" x14ac:dyDescent="0.45">
      <c r="A290" s="1"/>
      <c r="B290" s="1"/>
      <c r="C290" s="1"/>
      <c r="D290" s="1"/>
      <c r="E290" s="67"/>
      <c r="F290" s="1"/>
      <c r="G290" s="68"/>
      <c r="H290" s="2"/>
    </row>
    <row r="291" spans="1:8" ht="31.5" x14ac:dyDescent="0.45">
      <c r="A291" s="10" t="s">
        <v>112</v>
      </c>
      <c r="B291" s="11" t="s">
        <v>113</v>
      </c>
      <c r="C291" s="12" t="s">
        <v>11</v>
      </c>
      <c r="D291" s="13">
        <v>10</v>
      </c>
      <c r="E291" s="14">
        <v>10</v>
      </c>
      <c r="F291" s="14">
        <v>1000</v>
      </c>
      <c r="G291" s="16">
        <f>(D291+D292)*E291/F291</f>
        <v>0.1</v>
      </c>
      <c r="H291" s="17">
        <f>G291*$K$3</f>
        <v>1.4500000000000002</v>
      </c>
    </row>
    <row r="292" spans="1:8" ht="15.75" x14ac:dyDescent="0.45">
      <c r="A292" s="18"/>
      <c r="B292" s="19"/>
      <c r="C292" s="12" t="s">
        <v>48</v>
      </c>
      <c r="D292" s="13">
        <v>0</v>
      </c>
      <c r="E292" s="14"/>
      <c r="F292" s="14"/>
      <c r="G292" s="31"/>
      <c r="H292" s="32"/>
    </row>
    <row r="293" spans="1:8" ht="15.75" x14ac:dyDescent="0.45">
      <c r="A293" s="18"/>
      <c r="B293" s="19"/>
      <c r="C293" s="70" t="s">
        <v>108</v>
      </c>
      <c r="D293" s="22">
        <v>0</v>
      </c>
      <c r="E293" s="23">
        <f t="shared" ref="E293:F293" si="49">E291</f>
        <v>10</v>
      </c>
      <c r="F293" s="23">
        <f t="shared" si="49"/>
        <v>1000</v>
      </c>
      <c r="G293" s="25">
        <f>D293*E293/F293</f>
        <v>0</v>
      </c>
      <c r="H293" s="71">
        <f>G293*$O$1037</f>
        <v>0</v>
      </c>
    </row>
    <row r="294" spans="1:8" ht="15.75" x14ac:dyDescent="0.45">
      <c r="A294" s="26"/>
      <c r="B294" s="27"/>
      <c r="C294" s="21" t="s">
        <v>49</v>
      </c>
      <c r="D294" s="22">
        <v>2</v>
      </c>
      <c r="E294" s="23"/>
      <c r="F294" s="23"/>
      <c r="G294" s="25">
        <f>D294*E293/F293</f>
        <v>0.02</v>
      </c>
      <c r="H294" s="22">
        <f>G294*$O$1039</f>
        <v>0</v>
      </c>
    </row>
    <row r="295" spans="1:8" ht="15.75" x14ac:dyDescent="0.45">
      <c r="A295" s="1"/>
      <c r="B295" s="1"/>
      <c r="C295" s="1"/>
      <c r="D295" s="1"/>
      <c r="E295" s="67"/>
      <c r="F295" s="1"/>
      <c r="G295" s="68"/>
      <c r="H295" s="2"/>
    </row>
    <row r="296" spans="1:8" ht="31.5" x14ac:dyDescent="0.45">
      <c r="A296" s="10" t="s">
        <v>114</v>
      </c>
      <c r="B296" s="11" t="s">
        <v>65</v>
      </c>
      <c r="C296" s="12" t="s">
        <v>11</v>
      </c>
      <c r="D296" s="13">
        <v>6</v>
      </c>
      <c r="E296" s="14">
        <v>10</v>
      </c>
      <c r="F296" s="14">
        <f>2*2000</f>
        <v>4000</v>
      </c>
      <c r="G296" s="16">
        <f>(D296+D297)*E296/F296</f>
        <v>1.4999999999999999E-2</v>
      </c>
      <c r="H296" s="17">
        <f>G296*$K$3</f>
        <v>0.2175</v>
      </c>
    </row>
    <row r="297" spans="1:8" ht="15.75" x14ac:dyDescent="0.45">
      <c r="A297" s="18"/>
      <c r="B297" s="19"/>
      <c r="C297" s="12" t="s">
        <v>48</v>
      </c>
      <c r="D297" s="13">
        <v>0</v>
      </c>
      <c r="E297" s="14"/>
      <c r="F297" s="14"/>
      <c r="G297" s="31"/>
      <c r="H297" s="32"/>
    </row>
    <row r="298" spans="1:8" ht="15.75" x14ac:dyDescent="0.45">
      <c r="A298" s="18"/>
      <c r="B298" s="19"/>
      <c r="C298" s="70" t="s">
        <v>108</v>
      </c>
      <c r="D298" s="22">
        <v>0</v>
      </c>
      <c r="E298" s="23">
        <f t="shared" ref="E298:F298" si="50">E296</f>
        <v>10</v>
      </c>
      <c r="F298" s="23">
        <f t="shared" si="50"/>
        <v>4000</v>
      </c>
      <c r="G298" s="25">
        <f>D298*E298/F298</f>
        <v>0</v>
      </c>
      <c r="H298" s="71">
        <f>G298*$O$1037</f>
        <v>0</v>
      </c>
    </row>
    <row r="299" spans="1:8" ht="15.75" x14ac:dyDescent="0.45">
      <c r="A299" s="26"/>
      <c r="B299" s="27"/>
      <c r="C299" s="21" t="s">
        <v>49</v>
      </c>
      <c r="D299" s="22">
        <v>2</v>
      </c>
      <c r="E299" s="23"/>
      <c r="F299" s="23"/>
      <c r="G299" s="25">
        <f>D299*E298/F298</f>
        <v>5.0000000000000001E-3</v>
      </c>
      <c r="H299" s="22">
        <f>G299*$O$1039</f>
        <v>0</v>
      </c>
    </row>
    <row r="300" spans="1:8" ht="15.75" x14ac:dyDescent="0.45">
      <c r="A300" s="1"/>
      <c r="B300" s="1"/>
      <c r="C300" s="1"/>
      <c r="D300" s="1"/>
      <c r="E300" s="67"/>
      <c r="F300" s="1"/>
      <c r="G300" s="68"/>
      <c r="H300" s="2"/>
    </row>
    <row r="301" spans="1:8" ht="31.5" x14ac:dyDescent="0.45">
      <c r="A301" s="10" t="s">
        <v>115</v>
      </c>
      <c r="B301" s="11" t="s">
        <v>65</v>
      </c>
      <c r="C301" s="12" t="s">
        <v>11</v>
      </c>
      <c r="D301" s="13">
        <v>3</v>
      </c>
      <c r="E301" s="14">
        <v>10</v>
      </c>
      <c r="F301" s="69">
        <f>2*60</f>
        <v>120</v>
      </c>
      <c r="G301" s="16">
        <f>(D301+D302)*E301/F301</f>
        <v>0.25</v>
      </c>
      <c r="H301" s="17">
        <f>G301*$K$3</f>
        <v>3.625</v>
      </c>
    </row>
    <row r="302" spans="1:8" ht="15.75" x14ac:dyDescent="0.45">
      <c r="A302" s="18"/>
      <c r="B302" s="19"/>
      <c r="C302" s="12" t="s">
        <v>48</v>
      </c>
      <c r="D302" s="13">
        <v>0</v>
      </c>
      <c r="E302" s="14"/>
      <c r="F302" s="69"/>
      <c r="G302" s="31"/>
      <c r="H302" s="32"/>
    </row>
    <row r="303" spans="1:8" ht="31.5" x14ac:dyDescent="0.45">
      <c r="A303" s="18"/>
      <c r="B303" s="19"/>
      <c r="C303" s="70" t="s">
        <v>70</v>
      </c>
      <c r="D303" s="70">
        <v>0.5</v>
      </c>
      <c r="E303" s="72">
        <f t="shared" ref="E303:F303" si="51">+E301</f>
        <v>10</v>
      </c>
      <c r="F303" s="72">
        <f t="shared" si="51"/>
        <v>120</v>
      </c>
      <c r="G303" s="73">
        <f t="shared" ref="G303:G305" si="52">D303*E303/F303</f>
        <v>4.1666666666666664E-2</v>
      </c>
      <c r="H303" s="71">
        <f>G303*$O$1040</f>
        <v>0</v>
      </c>
    </row>
    <row r="304" spans="1:8" ht="15.75" x14ac:dyDescent="0.45">
      <c r="A304" s="18"/>
      <c r="B304" s="19"/>
      <c r="C304" s="70" t="s">
        <v>60</v>
      </c>
      <c r="D304" s="70">
        <v>2</v>
      </c>
      <c r="E304" s="72">
        <f t="shared" ref="E304:F304" si="53">+E301</f>
        <v>10</v>
      </c>
      <c r="F304" s="74">
        <f t="shared" si="53"/>
        <v>120</v>
      </c>
      <c r="G304" s="73">
        <f t="shared" si="52"/>
        <v>0.16666666666666666</v>
      </c>
      <c r="H304" s="22">
        <f>G304*$O$1039</f>
        <v>0</v>
      </c>
    </row>
    <row r="305" spans="1:8" ht="15.75" x14ac:dyDescent="0.45">
      <c r="A305" s="26"/>
      <c r="B305" s="27"/>
      <c r="C305" s="70" t="s">
        <v>108</v>
      </c>
      <c r="D305" s="70">
        <v>0</v>
      </c>
      <c r="E305" s="72">
        <f t="shared" ref="E305:F305" si="54">+E301</f>
        <v>10</v>
      </c>
      <c r="F305" s="72">
        <f t="shared" si="54"/>
        <v>120</v>
      </c>
      <c r="G305" s="73">
        <f t="shared" si="52"/>
        <v>0</v>
      </c>
      <c r="H305" s="71">
        <f>G305*$O$1037</f>
        <v>0</v>
      </c>
    </row>
    <row r="306" spans="1:8" ht="15.75" x14ac:dyDescent="0.45">
      <c r="A306" s="1"/>
      <c r="B306" s="1"/>
      <c r="C306" s="1"/>
      <c r="D306" s="1"/>
      <c r="E306" s="67"/>
      <c r="F306" s="1"/>
      <c r="G306" s="68"/>
      <c r="H306" s="2"/>
    </row>
    <row r="307" spans="1:8" ht="31.5" x14ac:dyDescent="0.45">
      <c r="A307" s="10" t="s">
        <v>116</v>
      </c>
      <c r="B307" s="11" t="s">
        <v>65</v>
      </c>
      <c r="C307" s="12" t="s">
        <v>11</v>
      </c>
      <c r="D307" s="13">
        <v>3</v>
      </c>
      <c r="E307" s="14">
        <v>10</v>
      </c>
      <c r="F307" s="69">
        <f>2*30</f>
        <v>60</v>
      </c>
      <c r="G307" s="16">
        <f>(D307+D308)*E307/F307</f>
        <v>0.5</v>
      </c>
      <c r="H307" s="17">
        <f>G307*$K$3</f>
        <v>7.25</v>
      </c>
    </row>
    <row r="308" spans="1:8" ht="15.75" x14ac:dyDescent="0.45">
      <c r="A308" s="18"/>
      <c r="B308" s="19"/>
      <c r="C308" s="12" t="s">
        <v>48</v>
      </c>
      <c r="D308" s="13">
        <v>0</v>
      </c>
      <c r="E308" s="14"/>
      <c r="F308" s="69"/>
      <c r="G308" s="31"/>
      <c r="H308" s="32"/>
    </row>
    <row r="309" spans="1:8" ht="31.5" x14ac:dyDescent="0.45">
      <c r="A309" s="18"/>
      <c r="B309" s="19"/>
      <c r="C309" s="70" t="s">
        <v>70</v>
      </c>
      <c r="D309" s="70">
        <v>1</v>
      </c>
      <c r="E309" s="72">
        <f t="shared" ref="E309:F309" si="55">+E307</f>
        <v>10</v>
      </c>
      <c r="F309" s="72">
        <f t="shared" si="55"/>
        <v>60</v>
      </c>
      <c r="G309" s="73">
        <f t="shared" ref="G309:G311" si="56">D309*E309/F309</f>
        <v>0.16666666666666666</v>
      </c>
      <c r="H309" s="71">
        <f>G309*$O$1040</f>
        <v>0</v>
      </c>
    </row>
    <row r="310" spans="1:8" ht="15.75" x14ac:dyDescent="0.45">
      <c r="A310" s="18"/>
      <c r="B310" s="19"/>
      <c r="C310" s="70" t="s">
        <v>60</v>
      </c>
      <c r="D310" s="70">
        <v>2</v>
      </c>
      <c r="E310" s="72">
        <f t="shared" ref="E310:F310" si="57">+E307</f>
        <v>10</v>
      </c>
      <c r="F310" s="74">
        <f t="shared" si="57"/>
        <v>60</v>
      </c>
      <c r="G310" s="73">
        <f t="shared" si="56"/>
        <v>0.33333333333333331</v>
      </c>
      <c r="H310" s="22">
        <f>G310*$O$1039</f>
        <v>0</v>
      </c>
    </row>
    <row r="311" spans="1:8" ht="15.75" x14ac:dyDescent="0.45">
      <c r="A311" s="26"/>
      <c r="B311" s="27"/>
      <c r="C311" s="70" t="s">
        <v>108</v>
      </c>
      <c r="D311" s="70">
        <v>1</v>
      </c>
      <c r="E311" s="72">
        <f t="shared" ref="E311:F311" si="58">+E307</f>
        <v>10</v>
      </c>
      <c r="F311" s="72">
        <f t="shared" si="58"/>
        <v>60</v>
      </c>
      <c r="G311" s="73">
        <f t="shared" si="56"/>
        <v>0.16666666666666666</v>
      </c>
      <c r="H311" s="71">
        <f>G311*$O$1037</f>
        <v>0</v>
      </c>
    </row>
    <row r="312" spans="1:8" ht="15.75" x14ac:dyDescent="0.45">
      <c r="A312" s="1"/>
      <c r="B312" s="1"/>
      <c r="C312" s="1"/>
      <c r="D312" s="1"/>
      <c r="E312" s="67"/>
      <c r="F312" s="1"/>
      <c r="G312" s="68"/>
      <c r="H312" s="2"/>
    </row>
    <row r="313" spans="1:8" ht="31.5" x14ac:dyDescent="0.45">
      <c r="A313" s="10" t="s">
        <v>117</v>
      </c>
      <c r="B313" s="11" t="s">
        <v>65</v>
      </c>
      <c r="C313" s="12" t="s">
        <v>11</v>
      </c>
      <c r="D313" s="13">
        <v>3</v>
      </c>
      <c r="E313" s="14">
        <v>10</v>
      </c>
      <c r="F313" s="69">
        <v>18</v>
      </c>
      <c r="G313" s="16">
        <f>(D313+D314)*E313/F313</f>
        <v>2.2222222222222223</v>
      </c>
      <c r="H313" s="17">
        <f>G313*$K$3</f>
        <v>32.222222222222221</v>
      </c>
    </row>
    <row r="314" spans="1:8" ht="31.5" x14ac:dyDescent="0.45">
      <c r="A314" s="18"/>
      <c r="B314" s="19"/>
      <c r="C314" s="12" t="s">
        <v>118</v>
      </c>
      <c r="D314" s="13">
        <v>1</v>
      </c>
      <c r="E314" s="14"/>
      <c r="F314" s="69"/>
      <c r="G314" s="31"/>
      <c r="H314" s="32"/>
    </row>
    <row r="315" spans="1:8" ht="31.5" x14ac:dyDescent="0.45">
      <c r="A315" s="18"/>
      <c r="B315" s="19"/>
      <c r="C315" s="70" t="s">
        <v>119</v>
      </c>
      <c r="D315" s="70">
        <v>0.75</v>
      </c>
      <c r="E315" s="75">
        <f t="shared" ref="E315:F315" si="59">+E313</f>
        <v>10</v>
      </c>
      <c r="F315" s="74">
        <f t="shared" si="59"/>
        <v>18</v>
      </c>
      <c r="G315" s="73">
        <f t="shared" ref="G315:G318" si="60">D315*E315/F315</f>
        <v>0.41666666666666669</v>
      </c>
      <c r="H315" s="22">
        <f>G315*$O$1046</f>
        <v>0</v>
      </c>
    </row>
    <row r="316" spans="1:8" ht="31.5" x14ac:dyDescent="0.45">
      <c r="A316" s="18"/>
      <c r="B316" s="19"/>
      <c r="C316" s="70" t="s">
        <v>70</v>
      </c>
      <c r="D316" s="70">
        <v>1</v>
      </c>
      <c r="E316" s="72">
        <f t="shared" ref="E316:F316" si="61">+E313</f>
        <v>10</v>
      </c>
      <c r="F316" s="74">
        <f t="shared" si="61"/>
        <v>18</v>
      </c>
      <c r="G316" s="73">
        <f t="shared" si="60"/>
        <v>0.55555555555555558</v>
      </c>
      <c r="H316" s="71">
        <f>G316*$O$1040</f>
        <v>0</v>
      </c>
    </row>
    <row r="317" spans="1:8" ht="15.75" x14ac:dyDescent="0.45">
      <c r="A317" s="18"/>
      <c r="B317" s="19"/>
      <c r="C317" s="70" t="s">
        <v>60</v>
      </c>
      <c r="D317" s="70">
        <v>0</v>
      </c>
      <c r="E317" s="72">
        <f>+E316</f>
        <v>10</v>
      </c>
      <c r="F317" s="74">
        <f>+F315</f>
        <v>18</v>
      </c>
      <c r="G317" s="73">
        <f t="shared" si="60"/>
        <v>0</v>
      </c>
      <c r="H317" s="22">
        <f>G317*$O$1039</f>
        <v>0</v>
      </c>
    </row>
    <row r="318" spans="1:8" ht="15.75" x14ac:dyDescent="0.45">
      <c r="A318" s="26"/>
      <c r="B318" s="27"/>
      <c r="C318" s="70" t="s">
        <v>108</v>
      </c>
      <c r="D318" s="70">
        <v>1</v>
      </c>
      <c r="E318" s="72">
        <f t="shared" ref="E318:F318" si="62">+E313</f>
        <v>10</v>
      </c>
      <c r="F318" s="74">
        <f t="shared" si="62"/>
        <v>18</v>
      </c>
      <c r="G318" s="73">
        <f t="shared" si="60"/>
        <v>0.55555555555555558</v>
      </c>
      <c r="H318" s="71">
        <f>G318*$O$1037</f>
        <v>0</v>
      </c>
    </row>
    <row r="319" spans="1:8" ht="15.75" x14ac:dyDescent="0.45">
      <c r="A319" s="1"/>
      <c r="B319" s="1"/>
      <c r="C319" s="1"/>
      <c r="D319" s="1"/>
      <c r="E319" s="67"/>
      <c r="F319" s="1"/>
      <c r="G319" s="68"/>
      <c r="H319" s="2"/>
    </row>
    <row r="320" spans="1:8" ht="31.5" x14ac:dyDescent="0.45">
      <c r="A320" s="10" t="s">
        <v>120</v>
      </c>
      <c r="B320" s="11" t="s">
        <v>65</v>
      </c>
      <c r="C320" s="12" t="s">
        <v>11</v>
      </c>
      <c r="D320" s="13">
        <v>3</v>
      </c>
      <c r="E320" s="14">
        <v>10</v>
      </c>
      <c r="F320" s="69">
        <f>2*12</f>
        <v>24</v>
      </c>
      <c r="G320" s="16">
        <f>(D320+D321)*E320/F320</f>
        <v>1.6666666666666667</v>
      </c>
      <c r="H320" s="17">
        <f>G320*$K$3</f>
        <v>24.166666666666668</v>
      </c>
    </row>
    <row r="321" spans="1:8" ht="31.5" x14ac:dyDescent="0.45">
      <c r="A321" s="18"/>
      <c r="B321" s="19"/>
      <c r="C321" s="12" t="s">
        <v>118</v>
      </c>
      <c r="D321" s="13">
        <v>1</v>
      </c>
      <c r="E321" s="14"/>
      <c r="F321" s="69"/>
      <c r="G321" s="31"/>
      <c r="H321" s="32"/>
    </row>
    <row r="322" spans="1:8" ht="31.5" x14ac:dyDescent="0.45">
      <c r="A322" s="18"/>
      <c r="B322" s="19"/>
      <c r="C322" s="70" t="s">
        <v>119</v>
      </c>
      <c r="D322" s="70">
        <v>1</v>
      </c>
      <c r="E322" s="75">
        <f t="shared" ref="E322:F322" si="63">+E320</f>
        <v>10</v>
      </c>
      <c r="F322" s="74">
        <f t="shared" si="63"/>
        <v>24</v>
      </c>
      <c r="G322" s="73">
        <f t="shared" ref="G322:G324" si="64">D322*E322/F322</f>
        <v>0.41666666666666669</v>
      </c>
      <c r="H322" s="22">
        <f>G322*$O$1046</f>
        <v>0</v>
      </c>
    </row>
    <row r="323" spans="1:8" ht="15.75" x14ac:dyDescent="0.45">
      <c r="A323" s="18"/>
      <c r="B323" s="19"/>
      <c r="C323" s="70" t="s">
        <v>60</v>
      </c>
      <c r="D323" s="70">
        <v>0</v>
      </c>
      <c r="E323" s="72">
        <f t="shared" ref="E323:F323" si="65">+E320</f>
        <v>10</v>
      </c>
      <c r="F323" s="74">
        <f t="shared" si="65"/>
        <v>24</v>
      </c>
      <c r="G323" s="73">
        <f t="shared" si="64"/>
        <v>0</v>
      </c>
      <c r="H323" s="22">
        <f>G323*$O$1039</f>
        <v>0</v>
      </c>
    </row>
    <row r="324" spans="1:8" ht="15.75" x14ac:dyDescent="0.45">
      <c r="A324" s="26"/>
      <c r="B324" s="27"/>
      <c r="C324" s="70" t="s">
        <v>108</v>
      </c>
      <c r="D324" s="70">
        <v>2</v>
      </c>
      <c r="E324" s="72">
        <f>+E320</f>
        <v>10</v>
      </c>
      <c r="F324" s="74">
        <f>+F323</f>
        <v>24</v>
      </c>
      <c r="G324" s="73">
        <f t="shared" si="64"/>
        <v>0.83333333333333337</v>
      </c>
      <c r="H324" s="71">
        <f>G324*$O$1037</f>
        <v>0</v>
      </c>
    </row>
    <row r="325" spans="1:8" ht="15.75" x14ac:dyDescent="0.45">
      <c r="A325" s="1"/>
      <c r="B325" s="1"/>
      <c r="C325" s="1"/>
      <c r="D325" s="1"/>
      <c r="E325" s="67"/>
      <c r="F325" s="1"/>
      <c r="G325" s="68"/>
      <c r="H325" s="2"/>
    </row>
    <row r="326" spans="1:8" ht="31.5" x14ac:dyDescent="0.45">
      <c r="A326" s="10" t="s">
        <v>121</v>
      </c>
      <c r="B326" s="11" t="s">
        <v>65</v>
      </c>
      <c r="C326" s="12" t="s">
        <v>11</v>
      </c>
      <c r="D326" s="13">
        <v>3</v>
      </c>
      <c r="E326" s="14">
        <v>10</v>
      </c>
      <c r="F326" s="69">
        <f>2*35</f>
        <v>70</v>
      </c>
      <c r="G326" s="16">
        <f>(D326+D327)*E326/F326</f>
        <v>0.5714285714285714</v>
      </c>
      <c r="H326" s="17">
        <f>G326*$K$3</f>
        <v>8.2857142857142847</v>
      </c>
    </row>
    <row r="327" spans="1:8" ht="31.5" x14ac:dyDescent="0.45">
      <c r="A327" s="18"/>
      <c r="B327" s="19"/>
      <c r="C327" s="12" t="s">
        <v>118</v>
      </c>
      <c r="D327" s="13">
        <v>1</v>
      </c>
      <c r="E327" s="14"/>
      <c r="F327" s="69"/>
      <c r="G327" s="31"/>
      <c r="H327" s="32"/>
    </row>
    <row r="328" spans="1:8" ht="31.5" x14ac:dyDescent="0.45">
      <c r="A328" s="18"/>
      <c r="B328" s="19"/>
      <c r="C328" s="70" t="s">
        <v>70</v>
      </c>
      <c r="D328" s="70">
        <v>1</v>
      </c>
      <c r="E328" s="72">
        <f t="shared" ref="E328:F328" si="66">+E326</f>
        <v>10</v>
      </c>
      <c r="F328" s="74">
        <f t="shared" si="66"/>
        <v>70</v>
      </c>
      <c r="G328" s="73">
        <f t="shared" ref="G328:G330" si="67">D328*E328/F328</f>
        <v>0.14285714285714285</v>
      </c>
      <c r="H328" s="71">
        <f>G328*$O$1040</f>
        <v>0</v>
      </c>
    </row>
    <row r="329" spans="1:8" ht="15.75" x14ac:dyDescent="0.45">
      <c r="A329" s="18"/>
      <c r="B329" s="19"/>
      <c r="C329" s="70" t="s">
        <v>60</v>
      </c>
      <c r="D329" s="70">
        <v>2</v>
      </c>
      <c r="E329" s="72">
        <f t="shared" ref="E329:F329" si="68">+E326</f>
        <v>10</v>
      </c>
      <c r="F329" s="74">
        <f t="shared" si="68"/>
        <v>70</v>
      </c>
      <c r="G329" s="73">
        <f t="shared" si="67"/>
        <v>0.2857142857142857</v>
      </c>
      <c r="H329" s="22">
        <f>G329*$O$1039</f>
        <v>0</v>
      </c>
    </row>
    <row r="330" spans="1:8" ht="15.75" x14ac:dyDescent="0.45">
      <c r="A330" s="26"/>
      <c r="B330" s="27"/>
      <c r="C330" s="70" t="s">
        <v>108</v>
      </c>
      <c r="D330" s="70">
        <v>1</v>
      </c>
      <c r="E330" s="72">
        <f t="shared" ref="E330:F330" si="69">+E326</f>
        <v>10</v>
      </c>
      <c r="F330" s="74">
        <f t="shared" si="69"/>
        <v>70</v>
      </c>
      <c r="G330" s="73">
        <f t="shared" si="67"/>
        <v>0.14285714285714285</v>
      </c>
      <c r="H330" s="71">
        <f>G330*$O$1037</f>
        <v>0</v>
      </c>
    </row>
    <row r="331" spans="1:8" ht="15.75" x14ac:dyDescent="0.45">
      <c r="A331" s="1"/>
      <c r="B331" s="1"/>
      <c r="C331" s="1"/>
      <c r="D331" s="1"/>
      <c r="E331" s="67"/>
      <c r="F331" s="1"/>
      <c r="G331" s="68"/>
      <c r="H331" s="2"/>
    </row>
    <row r="332" spans="1:8" ht="31.5" x14ac:dyDescent="0.45">
      <c r="A332" s="10" t="s">
        <v>122</v>
      </c>
      <c r="B332" s="11" t="s">
        <v>65</v>
      </c>
      <c r="C332" s="12" t="s">
        <v>11</v>
      </c>
      <c r="D332" s="13">
        <v>3</v>
      </c>
      <c r="E332" s="14">
        <v>10</v>
      </c>
      <c r="F332" s="69">
        <f>2*45</f>
        <v>90</v>
      </c>
      <c r="G332" s="16">
        <f>(D332+D333)*E332/F332</f>
        <v>0.44444444444444442</v>
      </c>
      <c r="H332" s="17">
        <f>G332*$K$3</f>
        <v>6.4444444444444438</v>
      </c>
    </row>
    <row r="333" spans="1:8" ht="31.5" x14ac:dyDescent="0.45">
      <c r="A333" s="18"/>
      <c r="B333" s="19"/>
      <c r="C333" s="12" t="s">
        <v>118</v>
      </c>
      <c r="D333" s="13">
        <v>1</v>
      </c>
      <c r="E333" s="14"/>
      <c r="F333" s="69"/>
      <c r="G333" s="31"/>
      <c r="H333" s="32"/>
    </row>
    <row r="334" spans="1:8" ht="31.5" x14ac:dyDescent="0.45">
      <c r="A334" s="18"/>
      <c r="B334" s="19"/>
      <c r="C334" s="70" t="s">
        <v>70</v>
      </c>
      <c r="D334" s="70">
        <v>1</v>
      </c>
      <c r="E334" s="72">
        <f t="shared" ref="E334:F334" si="70">+E332</f>
        <v>10</v>
      </c>
      <c r="F334" s="74">
        <f t="shared" si="70"/>
        <v>90</v>
      </c>
      <c r="G334" s="73">
        <f t="shared" ref="G334:G336" si="71">D334*E334/F334</f>
        <v>0.1111111111111111</v>
      </c>
      <c r="H334" s="71">
        <f>G334*$O$1040</f>
        <v>0</v>
      </c>
    </row>
    <row r="335" spans="1:8" ht="15.75" x14ac:dyDescent="0.45">
      <c r="A335" s="18"/>
      <c r="B335" s="19"/>
      <c r="C335" s="70" t="s">
        <v>60</v>
      </c>
      <c r="D335" s="70">
        <v>1</v>
      </c>
      <c r="E335" s="72">
        <f t="shared" ref="E335:F335" si="72">+E332</f>
        <v>10</v>
      </c>
      <c r="F335" s="74">
        <f t="shared" si="72"/>
        <v>90</v>
      </c>
      <c r="G335" s="73">
        <f t="shared" si="71"/>
        <v>0.1111111111111111</v>
      </c>
      <c r="H335" s="22">
        <f>G335*$O$1039</f>
        <v>0</v>
      </c>
    </row>
    <row r="336" spans="1:8" ht="15.75" x14ac:dyDescent="0.45">
      <c r="A336" s="26"/>
      <c r="B336" s="27"/>
      <c r="C336" s="70" t="s">
        <v>108</v>
      </c>
      <c r="D336" s="70">
        <v>1</v>
      </c>
      <c r="E336" s="72">
        <f t="shared" ref="E336:F336" si="73">+E332</f>
        <v>10</v>
      </c>
      <c r="F336" s="74">
        <f t="shared" si="73"/>
        <v>90</v>
      </c>
      <c r="G336" s="73">
        <f t="shared" si="71"/>
        <v>0.1111111111111111</v>
      </c>
      <c r="H336" s="71">
        <f>G336*$O$1037</f>
        <v>0</v>
      </c>
    </row>
    <row r="337" spans="1:8" ht="15.75" x14ac:dyDescent="0.45">
      <c r="A337" s="1"/>
      <c r="B337" s="1"/>
      <c r="C337" s="1"/>
      <c r="D337" s="1"/>
      <c r="E337" s="1"/>
      <c r="F337" s="1"/>
      <c r="G337" s="1"/>
      <c r="H337" s="1"/>
    </row>
    <row r="338" spans="1:8" ht="31.5" x14ac:dyDescent="0.45">
      <c r="A338" s="10" t="s">
        <v>123</v>
      </c>
      <c r="B338" s="11" t="s">
        <v>124</v>
      </c>
      <c r="C338" s="12" t="s">
        <v>11</v>
      </c>
      <c r="D338" s="13">
        <v>0.05</v>
      </c>
      <c r="E338" s="14">
        <f>E332</f>
        <v>10</v>
      </c>
      <c r="F338" s="14">
        <f>21*3</f>
        <v>63</v>
      </c>
      <c r="G338" s="16">
        <f>(D338+D339)*E338/F338</f>
        <v>7.9365079365079361E-3</v>
      </c>
      <c r="H338" s="17">
        <f>G338*$K$3</f>
        <v>0.11507936507936507</v>
      </c>
    </row>
    <row r="339" spans="1:8" ht="15.75" x14ac:dyDescent="0.45">
      <c r="A339" s="18"/>
      <c r="B339" s="19"/>
      <c r="C339" s="12" t="s">
        <v>48</v>
      </c>
      <c r="D339" s="13">
        <v>0</v>
      </c>
      <c r="E339" s="14"/>
      <c r="F339" s="14"/>
      <c r="G339" s="31"/>
      <c r="H339" s="32"/>
    </row>
    <row r="340" spans="1:8" ht="63" x14ac:dyDescent="0.45">
      <c r="A340" s="18"/>
      <c r="B340" s="19"/>
      <c r="C340" s="21" t="s">
        <v>125</v>
      </c>
      <c r="D340" s="22">
        <v>1</v>
      </c>
      <c r="E340" s="23">
        <f t="shared" ref="E340:F340" si="74">E338</f>
        <v>10</v>
      </c>
      <c r="F340" s="23">
        <f t="shared" si="74"/>
        <v>63</v>
      </c>
      <c r="G340" s="25">
        <f>D340*E340/F340</f>
        <v>0.15873015873015872</v>
      </c>
      <c r="H340" s="22">
        <f>G340*O$1022</f>
        <v>0</v>
      </c>
    </row>
    <row r="341" spans="1:8" ht="15.75" x14ac:dyDescent="0.45">
      <c r="A341" s="26"/>
      <c r="B341" s="27"/>
      <c r="C341" s="21"/>
      <c r="D341" s="22"/>
      <c r="E341" s="23"/>
      <c r="F341" s="23"/>
      <c r="G341" s="25">
        <f>D341*E340/F340</f>
        <v>0</v>
      </c>
      <c r="H341" s="22">
        <f>G341*G1146</f>
        <v>0</v>
      </c>
    </row>
    <row r="342" spans="1:8" ht="15.75" x14ac:dyDescent="0.45">
      <c r="A342" s="1"/>
      <c r="B342" s="1"/>
      <c r="C342" s="1"/>
      <c r="D342" s="1"/>
      <c r="E342" s="1"/>
      <c r="F342" s="1"/>
      <c r="G342" s="1"/>
      <c r="H342" s="1"/>
    </row>
    <row r="343" spans="1:8" ht="31.5" x14ac:dyDescent="0.45">
      <c r="A343" s="10" t="s">
        <v>126</v>
      </c>
      <c r="B343" s="11" t="s">
        <v>9</v>
      </c>
      <c r="C343" s="12" t="s">
        <v>10</v>
      </c>
      <c r="D343" s="13">
        <v>1</v>
      </c>
      <c r="E343" s="14">
        <v>10</v>
      </c>
      <c r="F343" s="14">
        <f>8*16</f>
        <v>128</v>
      </c>
      <c r="G343" s="16">
        <f>(D343+D344)*E343/F343</f>
        <v>0.15625</v>
      </c>
      <c r="H343" s="17">
        <f>G343*$K$3</f>
        <v>2.265625</v>
      </c>
    </row>
    <row r="344" spans="1:8" ht="31.5" x14ac:dyDescent="0.45">
      <c r="A344" s="18"/>
      <c r="B344" s="19"/>
      <c r="C344" s="12" t="s">
        <v>11</v>
      </c>
      <c r="D344" s="13">
        <v>1</v>
      </c>
      <c r="E344" s="14"/>
      <c r="F344" s="14"/>
      <c r="G344" s="31"/>
      <c r="H344" s="32"/>
    </row>
    <row r="345" spans="1:8" ht="31.5" x14ac:dyDescent="0.45">
      <c r="A345" s="18"/>
      <c r="B345" s="19"/>
      <c r="C345" s="21" t="s">
        <v>127</v>
      </c>
      <c r="D345" s="22">
        <v>1</v>
      </c>
      <c r="E345" s="23">
        <f t="shared" ref="E345:F345" si="75">E343</f>
        <v>10</v>
      </c>
      <c r="F345" s="23">
        <f t="shared" si="75"/>
        <v>128</v>
      </c>
      <c r="G345" s="25">
        <f t="shared" ref="G345:G347" si="76">D345*E345/F345</f>
        <v>7.8125E-2</v>
      </c>
      <c r="H345" s="22">
        <f>G345*$O$1038</f>
        <v>0</v>
      </c>
    </row>
    <row r="346" spans="1:8" ht="31.5" x14ac:dyDescent="0.45">
      <c r="A346" s="18"/>
      <c r="B346" s="19"/>
      <c r="C346" s="21" t="s">
        <v>128</v>
      </c>
      <c r="D346" s="22">
        <v>0</v>
      </c>
      <c r="E346" s="23">
        <f t="shared" ref="E346:E347" si="77">+E345</f>
        <v>10</v>
      </c>
      <c r="F346" s="23">
        <f>F345</f>
        <v>128</v>
      </c>
      <c r="G346" s="25">
        <f t="shared" si="76"/>
        <v>0</v>
      </c>
      <c r="H346" s="22">
        <f>G346*O$1031</f>
        <v>0</v>
      </c>
    </row>
    <row r="347" spans="1:8" ht="15.75" x14ac:dyDescent="0.45">
      <c r="A347" s="26"/>
      <c r="B347" s="27"/>
      <c r="C347" s="21" t="s">
        <v>61</v>
      </c>
      <c r="D347" s="22">
        <v>0.5</v>
      </c>
      <c r="E347" s="23">
        <f t="shared" si="77"/>
        <v>10</v>
      </c>
      <c r="F347" s="23">
        <f>F345</f>
        <v>128</v>
      </c>
      <c r="G347" s="25">
        <f t="shared" si="76"/>
        <v>3.90625E-2</v>
      </c>
      <c r="H347" s="22">
        <f>G347*O1027</f>
        <v>0</v>
      </c>
    </row>
    <row r="348" spans="1:8" ht="15.75" x14ac:dyDescent="0.45">
      <c r="A348" s="1"/>
      <c r="B348" s="1"/>
      <c r="C348" s="1"/>
      <c r="D348" s="1"/>
      <c r="E348" s="1"/>
      <c r="F348" s="1"/>
      <c r="G348" s="1"/>
      <c r="H348" s="1"/>
    </row>
    <row r="349" spans="1:8" ht="15.75" x14ac:dyDescent="0.45">
      <c r="A349" s="1"/>
      <c r="B349" s="1"/>
      <c r="C349" s="1"/>
      <c r="D349" s="1"/>
      <c r="E349" s="1"/>
      <c r="F349" s="1"/>
      <c r="G349" s="1"/>
      <c r="H349" s="1"/>
    </row>
    <row r="350" spans="1:8" ht="31.5" x14ac:dyDescent="0.45">
      <c r="A350" s="10" t="s">
        <v>129</v>
      </c>
      <c r="B350" s="11" t="s">
        <v>124</v>
      </c>
      <c r="C350" s="12" t="s">
        <v>11</v>
      </c>
      <c r="D350" s="13">
        <v>0</v>
      </c>
      <c r="E350" s="14">
        <f>E345</f>
        <v>10</v>
      </c>
      <c r="F350" s="14">
        <f>18*2</f>
        <v>36</v>
      </c>
      <c r="G350" s="16">
        <f>(D350+D351)*E350/F350</f>
        <v>0.55555555555555558</v>
      </c>
      <c r="H350" s="17">
        <f>G350*$K$3</f>
        <v>8.0555555555555554</v>
      </c>
    </row>
    <row r="351" spans="1:8" ht="15.75" x14ac:dyDescent="0.45">
      <c r="A351" s="18"/>
      <c r="B351" s="19"/>
      <c r="C351" s="12" t="s">
        <v>48</v>
      </c>
      <c r="D351" s="13">
        <v>2</v>
      </c>
      <c r="E351" s="14"/>
      <c r="F351" s="14"/>
      <c r="G351" s="31"/>
      <c r="H351" s="32"/>
    </row>
    <row r="352" spans="1:8" ht="63" x14ac:dyDescent="0.45">
      <c r="A352" s="18"/>
      <c r="B352" s="19"/>
      <c r="C352" s="21" t="s">
        <v>130</v>
      </c>
      <c r="D352" s="22">
        <v>1</v>
      </c>
      <c r="E352" s="23">
        <f t="shared" ref="E352:F352" si="78">E350</f>
        <v>10</v>
      </c>
      <c r="F352" s="23">
        <f t="shared" si="78"/>
        <v>36</v>
      </c>
      <c r="G352" s="25">
        <f>D352*E352/F352</f>
        <v>0.27777777777777779</v>
      </c>
      <c r="H352" s="22">
        <f>G352*O$1022</f>
        <v>0</v>
      </c>
    </row>
    <row r="353" spans="1:8" ht="15.75" x14ac:dyDescent="0.45">
      <c r="A353" s="26"/>
      <c r="B353" s="27"/>
      <c r="C353" s="21"/>
      <c r="D353" s="22"/>
      <c r="E353" s="23"/>
      <c r="F353" s="23"/>
      <c r="G353" s="25">
        <f>D353*E352/F352</f>
        <v>0</v>
      </c>
      <c r="H353" s="22">
        <f>G353*G1158</f>
        <v>0</v>
      </c>
    </row>
    <row r="354" spans="1:8" ht="15.75" x14ac:dyDescent="0.45">
      <c r="A354" s="1"/>
      <c r="B354" s="1"/>
      <c r="C354" s="1"/>
      <c r="D354" s="1"/>
      <c r="E354" s="1"/>
      <c r="F354" s="1"/>
      <c r="G354" s="1"/>
      <c r="H354" s="1"/>
    </row>
    <row r="355" spans="1:8" ht="15.75" x14ac:dyDescent="0.45">
      <c r="A355" s="1"/>
      <c r="B355" s="1"/>
      <c r="C355" s="1"/>
      <c r="D355" s="1"/>
      <c r="E355" s="1"/>
      <c r="F355" s="1"/>
      <c r="G355" s="1"/>
      <c r="H355" s="1"/>
    </row>
    <row r="356" spans="1:8" ht="15.75" x14ac:dyDescent="0.45">
      <c r="A356" s="1"/>
      <c r="B356" s="1"/>
      <c r="C356" s="1"/>
      <c r="D356" s="1"/>
      <c r="E356" s="1"/>
      <c r="F356" s="1"/>
      <c r="G356" s="1"/>
      <c r="H356" s="1"/>
    </row>
    <row r="357" spans="1:8" ht="15.75" x14ac:dyDescent="0.45">
      <c r="A357" s="1"/>
      <c r="B357" s="1"/>
      <c r="C357" s="1"/>
      <c r="D357" s="1"/>
      <c r="E357" s="1"/>
      <c r="F357" s="1"/>
      <c r="G357" s="1"/>
      <c r="H357" s="1"/>
    </row>
    <row r="358" spans="1:8" ht="15.75" x14ac:dyDescent="0.45">
      <c r="A358" s="1"/>
      <c r="B358" s="67"/>
      <c r="C358" s="67"/>
      <c r="D358" s="67"/>
      <c r="E358" s="67"/>
      <c r="F358" s="67"/>
      <c r="G358" s="67"/>
      <c r="H358" s="67"/>
    </row>
    <row r="359" spans="1:8" ht="15.75" x14ac:dyDescent="0.45">
      <c r="A359" s="1"/>
      <c r="B359" s="67"/>
      <c r="C359" s="67"/>
      <c r="D359" s="67"/>
      <c r="E359" s="67"/>
      <c r="F359" s="67"/>
      <c r="G359" s="67"/>
      <c r="H359" s="67"/>
    </row>
    <row r="360" spans="1:8" ht="15.75" x14ac:dyDescent="0.45">
      <c r="A360" s="1"/>
      <c r="B360" s="67"/>
      <c r="C360" s="67"/>
      <c r="D360" s="67"/>
      <c r="E360" s="67"/>
      <c r="F360" s="67"/>
      <c r="G360" s="67"/>
      <c r="H360" s="67"/>
    </row>
    <row r="361" spans="1:8" ht="15.75" x14ac:dyDescent="0.45">
      <c r="A361" s="1"/>
      <c r="B361" s="67"/>
      <c r="C361" s="67"/>
      <c r="D361" s="67"/>
      <c r="E361" s="67"/>
      <c r="F361" s="67"/>
      <c r="G361" s="67"/>
      <c r="H361" s="67"/>
    </row>
    <row r="362" spans="1:8" ht="78.75" x14ac:dyDescent="0.45">
      <c r="A362" s="76" t="s">
        <v>131</v>
      </c>
      <c r="B362" s="77"/>
      <c r="C362" s="77"/>
      <c r="D362" s="77"/>
      <c r="E362" s="77"/>
      <c r="F362" s="77"/>
      <c r="G362" s="77"/>
      <c r="H362" s="77"/>
    </row>
    <row r="363" spans="1:8" ht="47.25" x14ac:dyDescent="0.45">
      <c r="A363" s="5" t="s">
        <v>1</v>
      </c>
      <c r="B363" s="5" t="s">
        <v>2</v>
      </c>
      <c r="C363" s="6" t="s">
        <v>3</v>
      </c>
      <c r="D363" s="7"/>
      <c r="E363" s="5" t="s">
        <v>4</v>
      </c>
      <c r="F363" s="5" t="s">
        <v>132</v>
      </c>
      <c r="G363" s="8" t="s">
        <v>6</v>
      </c>
      <c r="H363" s="9" t="s">
        <v>7</v>
      </c>
    </row>
    <row r="364" spans="1:8" ht="31.5" x14ac:dyDescent="0.45">
      <c r="A364" s="10" t="s">
        <v>133</v>
      </c>
      <c r="B364" s="10" t="s">
        <v>22</v>
      </c>
      <c r="C364" s="12" t="s">
        <v>10</v>
      </c>
      <c r="D364" s="13">
        <v>1</v>
      </c>
      <c r="E364" s="14">
        <v>10</v>
      </c>
      <c r="F364" s="15">
        <v>750</v>
      </c>
      <c r="G364" s="16">
        <f>(D364+D365)*E364/F364</f>
        <v>0.08</v>
      </c>
      <c r="H364" s="17">
        <f>G364*$K$3</f>
        <v>1.1599999999999999</v>
      </c>
    </row>
    <row r="365" spans="1:8" ht="31.5" x14ac:dyDescent="0.45">
      <c r="A365" s="18"/>
      <c r="B365" s="18"/>
      <c r="C365" s="12" t="s">
        <v>11</v>
      </c>
      <c r="D365" s="13">
        <v>5</v>
      </c>
      <c r="E365" s="14"/>
      <c r="F365" s="15"/>
      <c r="G365" s="31"/>
      <c r="H365" s="32"/>
    </row>
    <row r="366" spans="1:8" ht="31.5" x14ac:dyDescent="0.45">
      <c r="A366" s="18"/>
      <c r="B366" s="18"/>
      <c r="C366" s="21" t="s">
        <v>12</v>
      </c>
      <c r="D366" s="22">
        <v>1</v>
      </c>
      <c r="E366" s="23">
        <f t="shared" ref="E366:F366" si="79">E364</f>
        <v>10</v>
      </c>
      <c r="F366" s="24">
        <f t="shared" si="79"/>
        <v>750</v>
      </c>
      <c r="G366" s="25">
        <f>D366*E366/F366</f>
        <v>1.3333333333333334E-2</v>
      </c>
      <c r="H366" s="22">
        <f>G366*O$1022</f>
        <v>0</v>
      </c>
    </row>
    <row r="367" spans="1:8" ht="78.75" x14ac:dyDescent="0.45">
      <c r="A367" s="18"/>
      <c r="B367" s="18"/>
      <c r="C367" s="21" t="s">
        <v>13</v>
      </c>
      <c r="D367" s="22">
        <v>0</v>
      </c>
      <c r="E367" s="23"/>
      <c r="F367" s="24"/>
      <c r="G367" s="25">
        <f>D367*E366/F366</f>
        <v>0</v>
      </c>
      <c r="H367" s="22">
        <f>G367*O1024</f>
        <v>0</v>
      </c>
    </row>
    <row r="368" spans="1:8" ht="15.75" x14ac:dyDescent="0.45">
      <c r="A368" s="18"/>
      <c r="B368" s="18"/>
      <c r="C368" s="78" t="s">
        <v>134</v>
      </c>
      <c r="D368" s="25">
        <v>1</v>
      </c>
      <c r="E368" s="23"/>
      <c r="F368" s="24"/>
      <c r="G368" s="25">
        <f>D368*E366/F366</f>
        <v>1.3333333333333334E-2</v>
      </c>
      <c r="H368" s="22">
        <f>G368*$O$1051</f>
        <v>0</v>
      </c>
    </row>
    <row r="369" spans="1:8" ht="15.75" x14ac:dyDescent="0.45">
      <c r="A369" s="18"/>
      <c r="B369" s="18"/>
      <c r="C369" s="78" t="s">
        <v>135</v>
      </c>
      <c r="D369" s="25">
        <v>1</v>
      </c>
      <c r="E369" s="23"/>
      <c r="F369" s="24"/>
      <c r="G369" s="25">
        <f>+D368*E366/F364</f>
        <v>1.3333333333333334E-2</v>
      </c>
      <c r="H369" s="22">
        <f>G369*$O$1052</f>
        <v>0</v>
      </c>
    </row>
    <row r="370" spans="1:8" ht="63" x14ac:dyDescent="0.45">
      <c r="A370" s="18"/>
      <c r="B370" s="18"/>
      <c r="C370" s="21" t="s">
        <v>39</v>
      </c>
      <c r="D370" s="25">
        <v>0.5</v>
      </c>
      <c r="E370" s="23"/>
      <c r="F370" s="24"/>
      <c r="G370" s="25">
        <f>+D370*E364/F364</f>
        <v>6.6666666666666671E-3</v>
      </c>
      <c r="H370" s="22">
        <f>G370*$O$1038</f>
        <v>0</v>
      </c>
    </row>
    <row r="371" spans="1:8" ht="31.5" x14ac:dyDescent="0.45">
      <c r="A371" s="18"/>
      <c r="B371" s="18"/>
      <c r="C371" s="21" t="s">
        <v>12</v>
      </c>
      <c r="D371" s="22">
        <v>0</v>
      </c>
      <c r="E371" s="23"/>
      <c r="F371" s="24"/>
      <c r="G371" s="25">
        <f>D371*E366/F366</f>
        <v>0</v>
      </c>
      <c r="H371" s="22">
        <f>G371*O$1022</f>
        <v>0</v>
      </c>
    </row>
    <row r="372" spans="1:8" ht="31.5" x14ac:dyDescent="0.45">
      <c r="A372" s="26"/>
      <c r="B372" s="26"/>
      <c r="C372" s="21" t="s">
        <v>136</v>
      </c>
      <c r="D372" s="22">
        <v>1</v>
      </c>
      <c r="E372" s="23"/>
      <c r="F372" s="24"/>
      <c r="G372" s="25">
        <f>D372*E366/F366</f>
        <v>1.3333333333333334E-2</v>
      </c>
      <c r="H372" s="22">
        <f>G372*$O$1026</f>
        <v>0</v>
      </c>
    </row>
    <row r="373" spans="1:8" ht="15.75" x14ac:dyDescent="0.45">
      <c r="A373" s="63"/>
      <c r="B373" s="63"/>
      <c r="C373" s="63"/>
      <c r="D373" s="39"/>
      <c r="E373" s="64"/>
      <c r="F373" s="64"/>
      <c r="G373" s="65"/>
      <c r="H373" s="66"/>
    </row>
    <row r="374" spans="1:8" ht="31.5" x14ac:dyDescent="0.45">
      <c r="A374" s="10" t="s">
        <v>137</v>
      </c>
      <c r="B374" s="10" t="s">
        <v>22</v>
      </c>
      <c r="C374" s="12" t="s">
        <v>10</v>
      </c>
      <c r="D374" s="13">
        <v>1</v>
      </c>
      <c r="E374" s="14">
        <v>10</v>
      </c>
      <c r="F374" s="14">
        <v>150</v>
      </c>
      <c r="G374" s="16">
        <f>(D374+D375)*E374/F374</f>
        <v>0.4</v>
      </c>
      <c r="H374" s="17">
        <f>G374*$K$3</f>
        <v>5.8000000000000007</v>
      </c>
    </row>
    <row r="375" spans="1:8" ht="31.5" x14ac:dyDescent="0.45">
      <c r="A375" s="18"/>
      <c r="B375" s="18"/>
      <c r="C375" s="12" t="s">
        <v>11</v>
      </c>
      <c r="D375" s="13">
        <v>5</v>
      </c>
      <c r="E375" s="14"/>
      <c r="F375" s="14"/>
      <c r="G375" s="31"/>
      <c r="H375" s="32"/>
    </row>
    <row r="376" spans="1:8" ht="31.5" x14ac:dyDescent="0.45">
      <c r="A376" s="18"/>
      <c r="B376" s="18"/>
      <c r="C376" s="21" t="s">
        <v>12</v>
      </c>
      <c r="D376" s="22">
        <v>0.2</v>
      </c>
      <c r="E376" s="23">
        <f t="shared" ref="E376:F376" si="80">E374</f>
        <v>10</v>
      </c>
      <c r="F376" s="23">
        <f t="shared" si="80"/>
        <v>150</v>
      </c>
      <c r="G376" s="25">
        <f>D376*E376/F376</f>
        <v>1.3333333333333334E-2</v>
      </c>
      <c r="H376" s="22">
        <f>G376*O$1022</f>
        <v>0</v>
      </c>
    </row>
    <row r="377" spans="1:8" ht="15.75" x14ac:dyDescent="0.45">
      <c r="A377" s="18"/>
      <c r="B377" s="18"/>
      <c r="C377" s="21" t="s">
        <v>135</v>
      </c>
      <c r="D377" s="22">
        <v>0</v>
      </c>
      <c r="E377" s="23"/>
      <c r="F377" s="23"/>
      <c r="G377" s="25">
        <f>D377*E376/F376</f>
        <v>0</v>
      </c>
      <c r="H377" s="22">
        <f>G377*$O$1052</f>
        <v>0</v>
      </c>
    </row>
    <row r="378" spans="1:8" ht="63" x14ac:dyDescent="0.45">
      <c r="A378" s="18"/>
      <c r="B378" s="18"/>
      <c r="C378" s="21" t="s">
        <v>19</v>
      </c>
      <c r="D378" s="22">
        <v>1</v>
      </c>
      <c r="E378" s="23"/>
      <c r="F378" s="23"/>
      <c r="G378" s="25">
        <f>D378*E376/F376</f>
        <v>6.6666666666666666E-2</v>
      </c>
      <c r="H378" s="22">
        <f>G378*$O$1050</f>
        <v>0</v>
      </c>
    </row>
    <row r="379" spans="1:8" ht="47.25" x14ac:dyDescent="0.45">
      <c r="A379" s="26"/>
      <c r="B379" s="26"/>
      <c r="C379" s="21" t="s">
        <v>36</v>
      </c>
      <c r="D379" s="22">
        <v>0.5</v>
      </c>
      <c r="E379" s="23"/>
      <c r="F379" s="23"/>
      <c r="G379" s="25">
        <f>D379*E376/F376</f>
        <v>3.3333333333333333E-2</v>
      </c>
      <c r="H379" s="22">
        <f>G379*$O$1029</f>
        <v>0</v>
      </c>
    </row>
    <row r="380" spans="1:8" ht="15.75" x14ac:dyDescent="0.45">
      <c r="A380" s="28"/>
      <c r="B380" s="29"/>
      <c r="C380" s="29"/>
      <c r="D380" s="30"/>
      <c r="E380" s="30"/>
      <c r="F380" s="30"/>
      <c r="G380" s="30"/>
      <c r="H380" s="30"/>
    </row>
    <row r="381" spans="1:8" ht="31.5" x14ac:dyDescent="0.45">
      <c r="A381" s="10" t="s">
        <v>138</v>
      </c>
      <c r="B381" s="10" t="s">
        <v>22</v>
      </c>
      <c r="C381" s="12" t="s">
        <v>11</v>
      </c>
      <c r="D381" s="13">
        <v>2</v>
      </c>
      <c r="E381" s="13">
        <v>10</v>
      </c>
      <c r="F381" s="20">
        <v>30</v>
      </c>
      <c r="G381" s="16">
        <f>(D381+D382+D383)*E381/F381</f>
        <v>1</v>
      </c>
      <c r="H381" s="17">
        <f>G381*$K$3</f>
        <v>14.5</v>
      </c>
    </row>
    <row r="382" spans="1:8" ht="15.75" x14ac:dyDescent="0.45">
      <c r="A382" s="18"/>
      <c r="B382" s="18"/>
      <c r="C382" s="12" t="s">
        <v>48</v>
      </c>
      <c r="D382" s="13"/>
      <c r="E382" s="13"/>
      <c r="F382" s="20"/>
      <c r="G382" s="36"/>
      <c r="H382" s="37"/>
    </row>
    <row r="383" spans="1:8" ht="15.75" x14ac:dyDescent="0.45">
      <c r="A383" s="18"/>
      <c r="B383" s="18"/>
      <c r="C383" s="12" t="s">
        <v>139</v>
      </c>
      <c r="D383" s="13">
        <v>1</v>
      </c>
      <c r="E383" s="13"/>
      <c r="F383" s="20"/>
      <c r="G383" s="31"/>
      <c r="H383" s="32"/>
    </row>
    <row r="384" spans="1:8" ht="47.25" x14ac:dyDescent="0.45">
      <c r="A384" s="18"/>
      <c r="B384" s="18"/>
      <c r="C384" s="21" t="s">
        <v>36</v>
      </c>
      <c r="D384" s="22"/>
      <c r="E384" s="22">
        <f t="shared" ref="E384:F384" si="81">E381</f>
        <v>10</v>
      </c>
      <c r="F384" s="22">
        <f t="shared" si="81"/>
        <v>30</v>
      </c>
      <c r="G384" s="25">
        <f t="shared" ref="G384:G385" si="82">D384*E384/F384</f>
        <v>0</v>
      </c>
      <c r="H384" s="22">
        <f>G384*$O$1029</f>
        <v>0</v>
      </c>
    </row>
    <row r="385" spans="1:8" ht="31.5" x14ac:dyDescent="0.45">
      <c r="A385" s="26"/>
      <c r="B385" s="26"/>
      <c r="C385" s="21" t="s">
        <v>43</v>
      </c>
      <c r="D385" s="22">
        <v>0.1</v>
      </c>
      <c r="E385" s="22">
        <f t="shared" ref="E385:F385" si="83">E381</f>
        <v>10</v>
      </c>
      <c r="F385" s="22">
        <f t="shared" si="83"/>
        <v>30</v>
      </c>
      <c r="G385" s="25">
        <f t="shared" si="82"/>
        <v>3.3333333333333333E-2</v>
      </c>
      <c r="H385" s="22">
        <f>G385*$O$1030</f>
        <v>0</v>
      </c>
    </row>
    <row r="386" spans="1:8" ht="15.75" x14ac:dyDescent="0.45">
      <c r="A386" s="28"/>
      <c r="B386" s="29"/>
      <c r="C386" s="29"/>
      <c r="D386" s="30"/>
      <c r="E386" s="30"/>
      <c r="F386" s="30"/>
      <c r="G386" s="30"/>
      <c r="H386" s="30"/>
    </row>
    <row r="387" spans="1:8" ht="31.5" x14ac:dyDescent="0.45">
      <c r="A387" s="79" t="s">
        <v>140</v>
      </c>
      <c r="B387" s="10" t="s">
        <v>22</v>
      </c>
      <c r="C387" s="12" t="s">
        <v>11</v>
      </c>
      <c r="D387" s="13">
        <v>2</v>
      </c>
      <c r="E387" s="13">
        <v>10</v>
      </c>
      <c r="F387" s="80">
        <v>20</v>
      </c>
      <c r="G387" s="16">
        <f>(D387+D388+D389)*E387/F387</f>
        <v>2</v>
      </c>
      <c r="H387" s="17">
        <f>G387*$K$3</f>
        <v>29</v>
      </c>
    </row>
    <row r="388" spans="1:8" ht="15.75" x14ac:dyDescent="0.45">
      <c r="A388" s="81"/>
      <c r="B388" s="18"/>
      <c r="C388" s="12" t="s">
        <v>48</v>
      </c>
      <c r="D388" s="13"/>
      <c r="E388" s="13"/>
      <c r="F388" s="20"/>
      <c r="G388" s="36"/>
      <c r="H388" s="37"/>
    </row>
    <row r="389" spans="1:8" ht="15.75" x14ac:dyDescent="0.45">
      <c r="A389" s="81"/>
      <c r="B389" s="18"/>
      <c r="C389" s="12" t="s">
        <v>139</v>
      </c>
      <c r="D389" s="13">
        <v>2</v>
      </c>
      <c r="E389" s="13"/>
      <c r="F389" s="20"/>
      <c r="G389" s="31"/>
      <c r="H389" s="32"/>
    </row>
    <row r="390" spans="1:8" ht="15.75" x14ac:dyDescent="0.45">
      <c r="A390" s="81"/>
      <c r="B390" s="18"/>
      <c r="C390" s="21" t="s">
        <v>49</v>
      </c>
      <c r="D390" s="22">
        <v>0.1</v>
      </c>
      <c r="E390" s="22">
        <f t="shared" ref="E390:F390" si="84">E387</f>
        <v>10</v>
      </c>
      <c r="F390" s="22">
        <f t="shared" si="84"/>
        <v>20</v>
      </c>
      <c r="G390" s="25">
        <f t="shared" ref="G390:G391" si="85">D390*E390/F390</f>
        <v>0.05</v>
      </c>
      <c r="H390" s="22">
        <f>G390*$O$1039</f>
        <v>0</v>
      </c>
    </row>
    <row r="391" spans="1:8" ht="15.75" x14ac:dyDescent="0.45">
      <c r="A391" s="82"/>
      <c r="B391" s="26"/>
      <c r="C391" s="21" t="s">
        <v>141</v>
      </c>
      <c r="D391" s="22">
        <v>0.1</v>
      </c>
      <c r="E391" s="22">
        <f t="shared" ref="E391:F391" si="86">E387</f>
        <v>10</v>
      </c>
      <c r="F391" s="22">
        <f t="shared" si="86"/>
        <v>20</v>
      </c>
      <c r="G391" s="25">
        <f t="shared" si="85"/>
        <v>0.05</v>
      </c>
      <c r="H391" s="22">
        <f>G391*$O$1034</f>
        <v>0</v>
      </c>
    </row>
    <row r="392" spans="1:8" ht="15.75" x14ac:dyDescent="0.45">
      <c r="A392" s="43"/>
      <c r="B392" s="1"/>
      <c r="C392" s="1"/>
      <c r="D392" s="44"/>
      <c r="E392" s="44"/>
      <c r="F392" s="44"/>
      <c r="G392" s="45"/>
      <c r="H392" s="44"/>
    </row>
    <row r="393" spans="1:8" ht="31.5" x14ac:dyDescent="0.45">
      <c r="A393" s="10" t="s">
        <v>142</v>
      </c>
      <c r="B393" s="10" t="s">
        <v>22</v>
      </c>
      <c r="C393" s="12" t="s">
        <v>11</v>
      </c>
      <c r="D393" s="13">
        <v>2</v>
      </c>
      <c r="E393" s="13">
        <v>10</v>
      </c>
      <c r="F393" s="83">
        <v>22</v>
      </c>
      <c r="G393" s="16">
        <f>(D393+D394+D395)*E393/F393</f>
        <v>1.8181818181818181</v>
      </c>
      <c r="H393" s="17">
        <f>G393*$K$3</f>
        <v>26.363636363636363</v>
      </c>
    </row>
    <row r="394" spans="1:8" ht="15.75" x14ac:dyDescent="0.45">
      <c r="A394" s="18"/>
      <c r="B394" s="18"/>
      <c r="C394" s="12" t="s">
        <v>48</v>
      </c>
      <c r="D394" s="13"/>
      <c r="E394" s="13"/>
      <c r="F394" s="13"/>
      <c r="G394" s="36"/>
      <c r="H394" s="37"/>
    </row>
    <row r="395" spans="1:8" ht="15.75" x14ac:dyDescent="0.45">
      <c r="A395" s="18"/>
      <c r="B395" s="18"/>
      <c r="C395" s="12" t="s">
        <v>139</v>
      </c>
      <c r="D395" s="13">
        <v>2</v>
      </c>
      <c r="E395" s="13"/>
      <c r="F395" s="13"/>
      <c r="G395" s="31"/>
      <c r="H395" s="32"/>
    </row>
    <row r="396" spans="1:8" ht="15.75" x14ac:dyDescent="0.45">
      <c r="A396" s="18"/>
      <c r="B396" s="18"/>
      <c r="C396" s="21" t="s">
        <v>49</v>
      </c>
      <c r="D396" s="22">
        <v>0.1</v>
      </c>
      <c r="E396" s="22">
        <f t="shared" ref="E396:F396" si="87">E393</f>
        <v>10</v>
      </c>
      <c r="F396" s="22">
        <f t="shared" si="87"/>
        <v>22</v>
      </c>
      <c r="G396" s="25">
        <f t="shared" ref="G396:G397" si="88">D396*E396/F396</f>
        <v>4.5454545454545456E-2</v>
      </c>
      <c r="H396" s="22">
        <f>G396*$O$1039</f>
        <v>0</v>
      </c>
    </row>
    <row r="397" spans="1:8" ht="15.75" x14ac:dyDescent="0.45">
      <c r="A397" s="26"/>
      <c r="B397" s="26"/>
      <c r="C397" s="21" t="s">
        <v>141</v>
      </c>
      <c r="D397" s="22">
        <v>0.1</v>
      </c>
      <c r="E397" s="22">
        <f t="shared" ref="E397:F397" si="89">E393</f>
        <v>10</v>
      </c>
      <c r="F397" s="22">
        <f t="shared" si="89"/>
        <v>22</v>
      </c>
      <c r="G397" s="25">
        <f t="shared" si="88"/>
        <v>4.5454545454545456E-2</v>
      </c>
      <c r="H397" s="22">
        <f>G397*$O$1034</f>
        <v>0</v>
      </c>
    </row>
    <row r="398" spans="1:8" ht="15.75" x14ac:dyDescent="0.45">
      <c r="A398" s="43"/>
      <c r="B398" s="1"/>
      <c r="C398" s="1"/>
      <c r="D398" s="44"/>
      <c r="E398" s="44"/>
      <c r="F398" s="44"/>
      <c r="G398" s="45"/>
      <c r="H398" s="44"/>
    </row>
    <row r="399" spans="1:8" ht="31.5" x14ac:dyDescent="0.45">
      <c r="A399" s="10" t="s">
        <v>143</v>
      </c>
      <c r="B399" s="10" t="s">
        <v>22</v>
      </c>
      <c r="C399" s="12" t="s">
        <v>11</v>
      </c>
      <c r="D399" s="13">
        <v>2</v>
      </c>
      <c r="E399" s="13">
        <v>10</v>
      </c>
      <c r="F399" s="13">
        <v>20</v>
      </c>
      <c r="G399" s="16">
        <f>(D399+D400+D401)*E399/F399</f>
        <v>1.5</v>
      </c>
      <c r="H399" s="17">
        <f>G399*$K$3</f>
        <v>21.75</v>
      </c>
    </row>
    <row r="400" spans="1:8" ht="15.75" x14ac:dyDescent="0.45">
      <c r="A400" s="18"/>
      <c r="B400" s="18"/>
      <c r="C400" s="12" t="s">
        <v>48</v>
      </c>
      <c r="D400" s="13"/>
      <c r="E400" s="13"/>
      <c r="F400" s="13"/>
      <c r="G400" s="36"/>
      <c r="H400" s="37"/>
    </row>
    <row r="401" spans="1:8" ht="15.75" x14ac:dyDescent="0.45">
      <c r="A401" s="18"/>
      <c r="B401" s="18"/>
      <c r="C401" s="12" t="s">
        <v>139</v>
      </c>
      <c r="D401" s="13">
        <v>1</v>
      </c>
      <c r="E401" s="13"/>
      <c r="F401" s="13"/>
      <c r="G401" s="31"/>
      <c r="H401" s="32"/>
    </row>
    <row r="402" spans="1:8" ht="15.75" x14ac:dyDescent="0.45">
      <c r="A402" s="18"/>
      <c r="B402" s="18"/>
      <c r="C402" s="21" t="s">
        <v>49</v>
      </c>
      <c r="D402" s="22">
        <v>0.1</v>
      </c>
      <c r="E402" s="22">
        <f t="shared" ref="E402:F402" si="90">E399</f>
        <v>10</v>
      </c>
      <c r="F402" s="22">
        <f t="shared" si="90"/>
        <v>20</v>
      </c>
      <c r="G402" s="25">
        <f t="shared" ref="G402:G403" si="91">D402*E402/F402</f>
        <v>0.05</v>
      </c>
      <c r="H402" s="22">
        <f>G402*$O$1039</f>
        <v>0</v>
      </c>
    </row>
    <row r="403" spans="1:8" ht="15.75" x14ac:dyDescent="0.45">
      <c r="A403" s="26"/>
      <c r="B403" s="26"/>
      <c r="C403" s="21" t="s">
        <v>141</v>
      </c>
      <c r="D403" s="22">
        <v>0.1</v>
      </c>
      <c r="E403" s="22">
        <f t="shared" ref="E403:F403" si="92">E399</f>
        <v>10</v>
      </c>
      <c r="F403" s="22">
        <f t="shared" si="92"/>
        <v>20</v>
      </c>
      <c r="G403" s="25">
        <f t="shared" si="91"/>
        <v>0.05</v>
      </c>
      <c r="H403" s="22">
        <f>G403*$O$1034</f>
        <v>0</v>
      </c>
    </row>
    <row r="404" spans="1:8" ht="15.75" x14ac:dyDescent="0.45">
      <c r="A404" s="43"/>
      <c r="B404" s="1"/>
      <c r="C404" s="1"/>
      <c r="D404" s="44"/>
      <c r="E404" s="44"/>
      <c r="F404" s="44"/>
      <c r="G404" s="45"/>
      <c r="H404" s="44"/>
    </row>
    <row r="405" spans="1:8" ht="31.5" x14ac:dyDescent="0.45">
      <c r="A405" s="79" t="s">
        <v>144</v>
      </c>
      <c r="B405" s="10" t="s">
        <v>22</v>
      </c>
      <c r="C405" s="12" t="s">
        <v>11</v>
      </c>
      <c r="D405" s="13">
        <v>3</v>
      </c>
      <c r="E405" s="13">
        <v>10</v>
      </c>
      <c r="F405" s="13">
        <v>15</v>
      </c>
      <c r="G405" s="16">
        <f>(D405+D406+D407)*E405/F405</f>
        <v>2.6666666666666665</v>
      </c>
      <c r="H405" s="17">
        <f>G405*$K$3</f>
        <v>38.666666666666664</v>
      </c>
    </row>
    <row r="406" spans="1:8" ht="15.75" x14ac:dyDescent="0.45">
      <c r="A406" s="81"/>
      <c r="B406" s="18"/>
      <c r="C406" s="12" t="s">
        <v>48</v>
      </c>
      <c r="D406" s="13"/>
      <c r="E406" s="13"/>
      <c r="F406" s="13"/>
      <c r="G406" s="36"/>
      <c r="H406" s="37"/>
    </row>
    <row r="407" spans="1:8" ht="15.75" x14ac:dyDescent="0.45">
      <c r="A407" s="81"/>
      <c r="B407" s="18"/>
      <c r="C407" s="12" t="s">
        <v>139</v>
      </c>
      <c r="D407" s="13">
        <v>1</v>
      </c>
      <c r="E407" s="13"/>
      <c r="F407" s="13"/>
      <c r="G407" s="31"/>
      <c r="H407" s="32"/>
    </row>
    <row r="408" spans="1:8" ht="15.75" x14ac:dyDescent="0.45">
      <c r="A408" s="81"/>
      <c r="B408" s="18"/>
      <c r="C408" s="21" t="s">
        <v>49</v>
      </c>
      <c r="D408" s="22">
        <v>0.1</v>
      </c>
      <c r="E408" s="22">
        <f t="shared" ref="E408:F408" si="93">E405</f>
        <v>10</v>
      </c>
      <c r="F408" s="22">
        <f t="shared" si="93"/>
        <v>15</v>
      </c>
      <c r="G408" s="25">
        <f t="shared" ref="G408:G409" si="94">D408*E408/F408</f>
        <v>6.6666666666666666E-2</v>
      </c>
      <c r="H408" s="22">
        <f>G408*$O$1039</f>
        <v>0</v>
      </c>
    </row>
    <row r="409" spans="1:8" ht="15.75" x14ac:dyDescent="0.45">
      <c r="A409" s="82"/>
      <c r="B409" s="26"/>
      <c r="C409" s="21" t="s">
        <v>141</v>
      </c>
      <c r="D409" s="22">
        <v>0.1</v>
      </c>
      <c r="E409" s="22">
        <f t="shared" ref="E409:F409" si="95">E405</f>
        <v>10</v>
      </c>
      <c r="F409" s="22">
        <f t="shared" si="95"/>
        <v>15</v>
      </c>
      <c r="G409" s="25">
        <f t="shared" si="94"/>
        <v>6.6666666666666666E-2</v>
      </c>
      <c r="H409" s="22">
        <f>G409*$O$1034</f>
        <v>0</v>
      </c>
    </row>
    <row r="410" spans="1:8" ht="15.75" x14ac:dyDescent="0.45">
      <c r="A410" s="43"/>
      <c r="B410" s="1"/>
      <c r="C410" s="1"/>
      <c r="D410" s="44"/>
      <c r="E410" s="44"/>
      <c r="F410" s="44"/>
      <c r="G410" s="45"/>
      <c r="H410" s="44"/>
    </row>
    <row r="411" spans="1:8" ht="31.5" x14ac:dyDescent="0.45">
      <c r="A411" s="10" t="s">
        <v>145</v>
      </c>
      <c r="B411" s="10" t="s">
        <v>22</v>
      </c>
      <c r="C411" s="12" t="s">
        <v>11</v>
      </c>
      <c r="D411" s="13">
        <v>3</v>
      </c>
      <c r="E411" s="13">
        <v>10</v>
      </c>
      <c r="F411" s="13">
        <v>15</v>
      </c>
      <c r="G411" s="16">
        <f>(D411+D412+D413)*E411/F411</f>
        <v>2.6666666666666665</v>
      </c>
      <c r="H411" s="17">
        <f>G411*$K$3</f>
        <v>38.666666666666664</v>
      </c>
    </row>
    <row r="412" spans="1:8" ht="15.75" x14ac:dyDescent="0.45">
      <c r="A412" s="18"/>
      <c r="B412" s="18"/>
      <c r="C412" s="12" t="s">
        <v>48</v>
      </c>
      <c r="D412" s="13"/>
      <c r="E412" s="13"/>
      <c r="F412" s="13"/>
      <c r="G412" s="36"/>
      <c r="H412" s="37"/>
    </row>
    <row r="413" spans="1:8" ht="15.75" x14ac:dyDescent="0.45">
      <c r="A413" s="18"/>
      <c r="B413" s="18"/>
      <c r="C413" s="12" t="s">
        <v>139</v>
      </c>
      <c r="D413" s="13">
        <v>1</v>
      </c>
      <c r="E413" s="13"/>
      <c r="F413" s="13"/>
      <c r="G413" s="31"/>
      <c r="H413" s="32"/>
    </row>
    <row r="414" spans="1:8" ht="15.75" x14ac:dyDescent="0.45">
      <c r="A414" s="18"/>
      <c r="B414" s="18"/>
      <c r="C414" s="21" t="s">
        <v>49</v>
      </c>
      <c r="D414" s="22">
        <v>0.1</v>
      </c>
      <c r="E414" s="22">
        <f t="shared" ref="E414:F414" si="96">E411</f>
        <v>10</v>
      </c>
      <c r="F414" s="22">
        <f t="shared" si="96"/>
        <v>15</v>
      </c>
      <c r="G414" s="25">
        <f t="shared" ref="G414:G415" si="97">D414*E414/F414</f>
        <v>6.6666666666666666E-2</v>
      </c>
      <c r="H414" s="22">
        <f>G414*$O$1039</f>
        <v>0</v>
      </c>
    </row>
    <row r="415" spans="1:8" ht="15.75" x14ac:dyDescent="0.45">
      <c r="A415" s="26"/>
      <c r="B415" s="26"/>
      <c r="C415" s="21" t="s">
        <v>141</v>
      </c>
      <c r="D415" s="22">
        <v>0.1</v>
      </c>
      <c r="E415" s="22">
        <f t="shared" ref="E415:F415" si="98">E411</f>
        <v>10</v>
      </c>
      <c r="F415" s="22">
        <f t="shared" si="98"/>
        <v>15</v>
      </c>
      <c r="G415" s="25">
        <f t="shared" si="97"/>
        <v>6.6666666666666666E-2</v>
      </c>
      <c r="H415" s="22">
        <f>G415*$O$1034</f>
        <v>0</v>
      </c>
    </row>
    <row r="416" spans="1:8" ht="15.75" x14ac:dyDescent="0.45">
      <c r="A416" s="43"/>
      <c r="B416" s="1"/>
      <c r="C416" s="1"/>
      <c r="D416" s="44"/>
      <c r="E416" s="44"/>
      <c r="F416" s="44"/>
      <c r="G416" s="45"/>
      <c r="H416" s="44"/>
    </row>
    <row r="417" spans="1:8" ht="15.75" x14ac:dyDescent="0.45">
      <c r="A417" s="43"/>
      <c r="B417" s="1"/>
      <c r="C417" s="1"/>
      <c r="D417" s="44"/>
      <c r="E417" s="44"/>
      <c r="F417" s="44"/>
      <c r="G417" s="45"/>
      <c r="H417" s="44"/>
    </row>
    <row r="418" spans="1:8" ht="31.5" x14ac:dyDescent="0.45">
      <c r="A418" s="10" t="s">
        <v>146</v>
      </c>
      <c r="B418" s="10" t="s">
        <v>22</v>
      </c>
      <c r="C418" s="12" t="s">
        <v>11</v>
      </c>
      <c r="D418" s="13">
        <v>1</v>
      </c>
      <c r="E418" s="13">
        <v>10</v>
      </c>
      <c r="F418" s="83">
        <v>10</v>
      </c>
      <c r="G418" s="16">
        <f>(D418+D419+D420)*E418/F418</f>
        <v>2</v>
      </c>
      <c r="H418" s="17">
        <f>G418*$K$3</f>
        <v>29</v>
      </c>
    </row>
    <row r="419" spans="1:8" ht="15.75" x14ac:dyDescent="0.45">
      <c r="A419" s="18"/>
      <c r="B419" s="18"/>
      <c r="C419" s="12" t="s">
        <v>48</v>
      </c>
      <c r="D419" s="13"/>
      <c r="E419" s="13"/>
      <c r="F419" s="13"/>
      <c r="G419" s="36"/>
      <c r="H419" s="37"/>
    </row>
    <row r="420" spans="1:8" ht="15.75" x14ac:dyDescent="0.45">
      <c r="A420" s="18"/>
      <c r="B420" s="18"/>
      <c r="C420" s="12" t="s">
        <v>139</v>
      </c>
      <c r="D420" s="13">
        <v>1</v>
      </c>
      <c r="E420" s="13"/>
      <c r="F420" s="13"/>
      <c r="G420" s="31"/>
      <c r="H420" s="32"/>
    </row>
    <row r="421" spans="1:8" ht="15.75" x14ac:dyDescent="0.45">
      <c r="A421" s="18"/>
      <c r="B421" s="18"/>
      <c r="C421" s="21" t="s">
        <v>49</v>
      </c>
      <c r="D421" s="22">
        <v>0.05</v>
      </c>
      <c r="E421" s="22">
        <f t="shared" ref="E421:F421" si="99">E418</f>
        <v>10</v>
      </c>
      <c r="F421" s="22">
        <f t="shared" si="99"/>
        <v>10</v>
      </c>
      <c r="G421" s="25">
        <f t="shared" ref="G421:G422" si="100">D421*E421/F421</f>
        <v>0.05</v>
      </c>
      <c r="H421" s="22">
        <f>G421*$O$1039</f>
        <v>0</v>
      </c>
    </row>
    <row r="422" spans="1:8" ht="15.75" x14ac:dyDescent="0.45">
      <c r="A422" s="26"/>
      <c r="B422" s="26"/>
      <c r="C422" s="21" t="s">
        <v>141</v>
      </c>
      <c r="D422" s="22">
        <v>0.1</v>
      </c>
      <c r="E422" s="22">
        <f t="shared" ref="E422:F422" si="101">E418</f>
        <v>10</v>
      </c>
      <c r="F422" s="22">
        <f t="shared" si="101"/>
        <v>10</v>
      </c>
      <c r="G422" s="25">
        <f t="shared" si="100"/>
        <v>0.1</v>
      </c>
      <c r="H422" s="22">
        <f>G422*$O$1034</f>
        <v>0</v>
      </c>
    </row>
    <row r="423" spans="1:8" ht="15.75" x14ac:dyDescent="0.45">
      <c r="A423" s="63"/>
      <c r="B423" s="63"/>
      <c r="C423" s="63"/>
      <c r="D423" s="39"/>
      <c r="E423" s="39"/>
      <c r="F423" s="39"/>
      <c r="G423" s="65"/>
      <c r="H423" s="66"/>
    </row>
    <row r="424" spans="1:8" ht="31.5" x14ac:dyDescent="0.45">
      <c r="A424" s="10" t="s">
        <v>147</v>
      </c>
      <c r="B424" s="10" t="s">
        <v>22</v>
      </c>
      <c r="C424" s="12" t="s">
        <v>11</v>
      </c>
      <c r="D424" s="13">
        <v>1</v>
      </c>
      <c r="E424" s="13">
        <v>10</v>
      </c>
      <c r="F424" s="83">
        <v>8</v>
      </c>
      <c r="G424" s="16">
        <f>(D424+D425+D426)*E424/F424</f>
        <v>2.5</v>
      </c>
      <c r="H424" s="17">
        <f>G424*$K$3</f>
        <v>36.25</v>
      </c>
    </row>
    <row r="425" spans="1:8" ht="15.75" x14ac:dyDescent="0.45">
      <c r="A425" s="18"/>
      <c r="B425" s="18"/>
      <c r="C425" s="12" t="s">
        <v>48</v>
      </c>
      <c r="D425" s="13"/>
      <c r="E425" s="13"/>
      <c r="F425" s="13"/>
      <c r="G425" s="36"/>
      <c r="H425" s="37"/>
    </row>
    <row r="426" spans="1:8" ht="15.75" x14ac:dyDescent="0.45">
      <c r="A426" s="18"/>
      <c r="B426" s="18"/>
      <c r="C426" s="12" t="s">
        <v>139</v>
      </c>
      <c r="D426" s="13">
        <v>1</v>
      </c>
      <c r="E426" s="13"/>
      <c r="F426" s="13"/>
      <c r="G426" s="31"/>
      <c r="H426" s="32"/>
    </row>
    <row r="427" spans="1:8" ht="15.75" x14ac:dyDescent="0.45">
      <c r="A427" s="18"/>
      <c r="B427" s="18"/>
      <c r="C427" s="21" t="s">
        <v>49</v>
      </c>
      <c r="D427" s="22">
        <v>0.05</v>
      </c>
      <c r="E427" s="22">
        <f t="shared" ref="E427:F427" si="102">E424</f>
        <v>10</v>
      </c>
      <c r="F427" s="22">
        <f t="shared" si="102"/>
        <v>8</v>
      </c>
      <c r="G427" s="25">
        <f t="shared" ref="G427:G428" si="103">D427*E427/F427</f>
        <v>6.25E-2</v>
      </c>
      <c r="H427" s="22">
        <f>G427*$O$1039</f>
        <v>0</v>
      </c>
    </row>
    <row r="428" spans="1:8" ht="15.75" x14ac:dyDescent="0.45">
      <c r="A428" s="26"/>
      <c r="B428" s="26"/>
      <c r="C428" s="21" t="s">
        <v>141</v>
      </c>
      <c r="D428" s="22">
        <f>D427</f>
        <v>0.05</v>
      </c>
      <c r="E428" s="22">
        <f t="shared" ref="E428:F428" si="104">E424</f>
        <v>10</v>
      </c>
      <c r="F428" s="22">
        <f t="shared" si="104"/>
        <v>8</v>
      </c>
      <c r="G428" s="25">
        <f t="shared" si="103"/>
        <v>6.25E-2</v>
      </c>
      <c r="H428" s="22">
        <f>G428*$O$1034</f>
        <v>0</v>
      </c>
    </row>
    <row r="429" spans="1:8" ht="15.75" x14ac:dyDescent="0.45">
      <c r="A429" s="43"/>
      <c r="B429" s="1"/>
      <c r="C429" s="1"/>
      <c r="D429" s="44"/>
      <c r="E429" s="44"/>
      <c r="F429" s="44"/>
      <c r="G429" s="45"/>
      <c r="H429" s="44"/>
    </row>
    <row r="430" spans="1:8" ht="31.5" x14ac:dyDescent="0.45">
      <c r="A430" s="84" t="s">
        <v>148</v>
      </c>
      <c r="B430" s="10" t="s">
        <v>22</v>
      </c>
      <c r="C430" s="12" t="s">
        <v>11</v>
      </c>
      <c r="D430" s="13">
        <v>3</v>
      </c>
      <c r="E430" s="13">
        <v>10</v>
      </c>
      <c r="F430" s="13">
        <v>20</v>
      </c>
      <c r="G430" s="16">
        <f>(D430+D431+D432)*E430/F430</f>
        <v>2</v>
      </c>
      <c r="H430" s="17">
        <f>G430*$K$3</f>
        <v>29</v>
      </c>
    </row>
    <row r="431" spans="1:8" ht="15.75" x14ac:dyDescent="0.45">
      <c r="A431" s="85"/>
      <c r="B431" s="18"/>
      <c r="C431" s="12" t="s">
        <v>48</v>
      </c>
      <c r="D431" s="13"/>
      <c r="E431" s="13"/>
      <c r="F431" s="13"/>
      <c r="G431" s="36"/>
      <c r="H431" s="37"/>
    </row>
    <row r="432" spans="1:8" ht="15.75" x14ac:dyDescent="0.45">
      <c r="A432" s="85"/>
      <c r="B432" s="18"/>
      <c r="C432" s="12" t="s">
        <v>139</v>
      </c>
      <c r="D432" s="13">
        <v>1</v>
      </c>
      <c r="E432" s="13"/>
      <c r="F432" s="13"/>
      <c r="G432" s="31"/>
      <c r="H432" s="32"/>
    </row>
    <row r="433" spans="1:8" ht="15.75" x14ac:dyDescent="0.45">
      <c r="A433" s="85"/>
      <c r="B433" s="18"/>
      <c r="C433" s="21" t="s">
        <v>49</v>
      </c>
      <c r="D433" s="22">
        <v>0.1</v>
      </c>
      <c r="E433" s="22">
        <f t="shared" ref="E433:F433" si="105">E430</f>
        <v>10</v>
      </c>
      <c r="F433" s="22">
        <f t="shared" si="105"/>
        <v>20</v>
      </c>
      <c r="G433" s="25">
        <f t="shared" ref="G433:G434" si="106">D433*E433/F433</f>
        <v>0.05</v>
      </c>
      <c r="H433" s="22">
        <f>G433*$O$1039</f>
        <v>0</v>
      </c>
    </row>
    <row r="434" spans="1:8" ht="15.75" x14ac:dyDescent="0.45">
      <c r="A434" s="86"/>
      <c r="B434" s="26"/>
      <c r="C434" s="21" t="s">
        <v>141</v>
      </c>
      <c r="D434" s="22">
        <v>0.1</v>
      </c>
      <c r="E434" s="22">
        <f t="shared" ref="E434:F434" si="107">E430</f>
        <v>10</v>
      </c>
      <c r="F434" s="22">
        <f t="shared" si="107"/>
        <v>20</v>
      </c>
      <c r="G434" s="25">
        <f t="shared" si="106"/>
        <v>0.05</v>
      </c>
      <c r="H434" s="22">
        <f>G434*$O$1034</f>
        <v>0</v>
      </c>
    </row>
    <row r="435" spans="1:8" ht="15.75" x14ac:dyDescent="0.45">
      <c r="A435" s="43"/>
      <c r="B435" s="1"/>
      <c r="C435" s="1"/>
      <c r="D435" s="44"/>
      <c r="E435" s="44"/>
      <c r="F435" s="44"/>
      <c r="G435" s="45"/>
      <c r="H435" s="44"/>
    </row>
    <row r="436" spans="1:8" ht="31.5" x14ac:dyDescent="0.45">
      <c r="A436" s="10" t="s">
        <v>149</v>
      </c>
      <c r="B436" s="10" t="s">
        <v>22</v>
      </c>
      <c r="C436" s="12" t="s">
        <v>11</v>
      </c>
      <c r="D436" s="13">
        <v>2</v>
      </c>
      <c r="E436" s="13">
        <v>10</v>
      </c>
      <c r="F436" s="13">
        <v>20</v>
      </c>
      <c r="G436" s="16">
        <f>(D436+D437+D438)*E436/F436</f>
        <v>1</v>
      </c>
      <c r="H436" s="17">
        <f>G436*$K$3</f>
        <v>14.5</v>
      </c>
    </row>
    <row r="437" spans="1:8" ht="15.75" x14ac:dyDescent="0.45">
      <c r="A437" s="18"/>
      <c r="B437" s="18"/>
      <c r="C437" s="12" t="s">
        <v>48</v>
      </c>
      <c r="D437" s="13"/>
      <c r="E437" s="13"/>
      <c r="F437" s="13"/>
      <c r="G437" s="36"/>
      <c r="H437" s="37"/>
    </row>
    <row r="438" spans="1:8" ht="15.75" x14ac:dyDescent="0.45">
      <c r="A438" s="18"/>
      <c r="B438" s="18"/>
      <c r="C438" s="12" t="s">
        <v>139</v>
      </c>
      <c r="D438" s="13"/>
      <c r="E438" s="13"/>
      <c r="F438" s="13"/>
      <c r="G438" s="31"/>
      <c r="H438" s="32"/>
    </row>
    <row r="439" spans="1:8" ht="47.25" x14ac:dyDescent="0.45">
      <c r="A439" s="18"/>
      <c r="B439" s="18"/>
      <c r="C439" s="22" t="s">
        <v>36</v>
      </c>
      <c r="D439" s="22"/>
      <c r="E439" s="22">
        <f t="shared" ref="E439:F439" si="108">E436</f>
        <v>10</v>
      </c>
      <c r="F439" s="22">
        <f t="shared" si="108"/>
        <v>20</v>
      </c>
      <c r="G439" s="22">
        <f t="shared" ref="G439:G440" si="109">D439*E439/F439</f>
        <v>0</v>
      </c>
      <c r="H439" s="22">
        <f>G439*$O$1029</f>
        <v>0</v>
      </c>
    </row>
    <row r="440" spans="1:8" ht="31.5" x14ac:dyDescent="0.45">
      <c r="A440" s="26"/>
      <c r="B440" s="26"/>
      <c r="C440" s="22" t="s">
        <v>43</v>
      </c>
      <c r="D440" s="22"/>
      <c r="E440" s="22">
        <f t="shared" ref="E440:F440" si="110">E436</f>
        <v>10</v>
      </c>
      <c r="F440" s="22">
        <f t="shared" si="110"/>
        <v>20</v>
      </c>
      <c r="G440" s="22">
        <f t="shared" si="109"/>
        <v>0</v>
      </c>
      <c r="H440" s="22">
        <f>G440*$O$1030</f>
        <v>0</v>
      </c>
    </row>
    <row r="441" spans="1:8" ht="15.75" x14ac:dyDescent="0.45">
      <c r="A441" s="43"/>
      <c r="B441" s="1"/>
      <c r="C441" s="1"/>
      <c r="D441" s="44"/>
      <c r="E441" s="44"/>
      <c r="F441" s="44"/>
      <c r="G441" s="45"/>
      <c r="H441" s="44"/>
    </row>
    <row r="442" spans="1:8" ht="31.5" x14ac:dyDescent="0.45">
      <c r="A442" s="10" t="s">
        <v>150</v>
      </c>
      <c r="B442" s="10" t="s">
        <v>9</v>
      </c>
      <c r="C442" s="12" t="s">
        <v>10</v>
      </c>
      <c r="D442" s="13">
        <v>1</v>
      </c>
      <c r="E442" s="13">
        <v>10</v>
      </c>
      <c r="F442" s="20">
        <f>6*18</f>
        <v>108</v>
      </c>
      <c r="G442" s="16">
        <f>(D442+D443+D444)*E442/F442</f>
        <v>0.37037037037037035</v>
      </c>
      <c r="H442" s="17">
        <f>G442*$K$3</f>
        <v>5.3703703703703702</v>
      </c>
    </row>
    <row r="443" spans="1:8" ht="31.5" x14ac:dyDescent="0.45">
      <c r="A443" s="18"/>
      <c r="B443" s="18"/>
      <c r="C443" s="12" t="s">
        <v>11</v>
      </c>
      <c r="D443" s="13">
        <v>3</v>
      </c>
      <c r="E443" s="13"/>
      <c r="F443" s="20"/>
      <c r="G443" s="36"/>
      <c r="H443" s="37"/>
    </row>
    <row r="444" spans="1:8" ht="15.75" x14ac:dyDescent="0.45">
      <c r="A444" s="18"/>
      <c r="B444" s="18"/>
      <c r="C444" s="12" t="s">
        <v>48</v>
      </c>
      <c r="D444" s="13"/>
      <c r="E444" s="13"/>
      <c r="F444" s="20"/>
      <c r="G444" s="31"/>
      <c r="H444" s="32"/>
    </row>
    <row r="445" spans="1:8" ht="63" x14ac:dyDescent="0.45">
      <c r="A445" s="18"/>
      <c r="B445" s="18"/>
      <c r="C445" s="22" t="s">
        <v>19</v>
      </c>
      <c r="D445" s="22">
        <v>1</v>
      </c>
      <c r="E445" s="22">
        <f t="shared" ref="E445:F445" si="111">+E442</f>
        <v>10</v>
      </c>
      <c r="F445" s="22">
        <f t="shared" si="111"/>
        <v>108</v>
      </c>
      <c r="G445" s="22">
        <f t="shared" ref="G445:G447" si="112">D445*E445/F445</f>
        <v>9.2592592592592587E-2</v>
      </c>
      <c r="H445" s="22">
        <f>G445*$O$1050</f>
        <v>0</v>
      </c>
    </row>
    <row r="446" spans="1:8" ht="47.25" x14ac:dyDescent="0.45">
      <c r="A446" s="18"/>
      <c r="B446" s="18"/>
      <c r="C446" s="22" t="s">
        <v>36</v>
      </c>
      <c r="D446" s="22">
        <v>0.5</v>
      </c>
      <c r="E446" s="22">
        <f t="shared" ref="E446:F446" si="113">E442</f>
        <v>10</v>
      </c>
      <c r="F446" s="22">
        <f t="shared" si="113"/>
        <v>108</v>
      </c>
      <c r="G446" s="22">
        <f t="shared" si="112"/>
        <v>4.6296296296296294E-2</v>
      </c>
      <c r="H446" s="22">
        <f>G446*$O$1029</f>
        <v>0</v>
      </c>
    </row>
    <row r="447" spans="1:8" ht="31.5" x14ac:dyDescent="0.45">
      <c r="A447" s="26"/>
      <c r="B447" s="26"/>
      <c r="C447" s="22" t="s">
        <v>43</v>
      </c>
      <c r="D447" s="22">
        <v>0.5</v>
      </c>
      <c r="E447" s="22">
        <f t="shared" ref="E447:F447" si="114">E442</f>
        <v>10</v>
      </c>
      <c r="F447" s="22">
        <f t="shared" si="114"/>
        <v>108</v>
      </c>
      <c r="G447" s="22">
        <f t="shared" si="112"/>
        <v>4.6296296296296294E-2</v>
      </c>
      <c r="H447" s="22">
        <f>G447*$O$1030</f>
        <v>0</v>
      </c>
    </row>
    <row r="448" spans="1:8" ht="15.75" x14ac:dyDescent="0.45">
      <c r="A448" s="43"/>
      <c r="B448" s="1"/>
      <c r="C448" s="1"/>
      <c r="D448" s="44"/>
      <c r="E448" s="44"/>
      <c r="F448" s="44"/>
      <c r="G448" s="45"/>
      <c r="H448" s="44"/>
    </row>
    <row r="449" spans="1:8" ht="31.5" x14ac:dyDescent="0.45">
      <c r="A449" s="10" t="s">
        <v>151</v>
      </c>
      <c r="B449" s="10" t="s">
        <v>22</v>
      </c>
      <c r="C449" s="12" t="s">
        <v>11</v>
      </c>
      <c r="D449" s="13">
        <v>3</v>
      </c>
      <c r="E449" s="13">
        <v>10</v>
      </c>
      <c r="F449" s="13">
        <v>15</v>
      </c>
      <c r="G449" s="16">
        <f>(D449+D450+D451)*E449/F449</f>
        <v>2.6666666666666665</v>
      </c>
      <c r="H449" s="17">
        <f>G449*$K$3</f>
        <v>38.666666666666664</v>
      </c>
    </row>
    <row r="450" spans="1:8" ht="15.75" x14ac:dyDescent="0.45">
      <c r="A450" s="18"/>
      <c r="B450" s="18"/>
      <c r="C450" s="12" t="s">
        <v>48</v>
      </c>
      <c r="D450" s="13"/>
      <c r="E450" s="13"/>
      <c r="F450" s="13"/>
      <c r="G450" s="36"/>
      <c r="H450" s="37"/>
    </row>
    <row r="451" spans="1:8" ht="15.75" x14ac:dyDescent="0.45">
      <c r="A451" s="18"/>
      <c r="B451" s="18"/>
      <c r="C451" s="12" t="s">
        <v>139</v>
      </c>
      <c r="D451" s="13">
        <v>1</v>
      </c>
      <c r="E451" s="13"/>
      <c r="F451" s="13"/>
      <c r="G451" s="31"/>
      <c r="H451" s="32"/>
    </row>
    <row r="452" spans="1:8" ht="47.25" x14ac:dyDescent="0.45">
      <c r="A452" s="18"/>
      <c r="B452" s="18"/>
      <c r="C452" s="22" t="s">
        <v>36</v>
      </c>
      <c r="D452" s="22"/>
      <c r="E452" s="22">
        <f t="shared" ref="E452:F452" si="115">E449</f>
        <v>10</v>
      </c>
      <c r="F452" s="22">
        <f t="shared" si="115"/>
        <v>15</v>
      </c>
      <c r="G452" s="22">
        <f t="shared" ref="G452:G453" si="116">D452*E452/F452</f>
        <v>0</v>
      </c>
      <c r="H452" s="22">
        <f>G452*$O$1029</f>
        <v>0</v>
      </c>
    </row>
    <row r="453" spans="1:8" ht="31.5" x14ac:dyDescent="0.45">
      <c r="A453" s="26"/>
      <c r="B453" s="26"/>
      <c r="C453" s="22" t="s">
        <v>43</v>
      </c>
      <c r="D453" s="22">
        <v>0.2</v>
      </c>
      <c r="E453" s="22">
        <f t="shared" ref="E453:F453" si="117">E449</f>
        <v>10</v>
      </c>
      <c r="F453" s="22">
        <f t="shared" si="117"/>
        <v>15</v>
      </c>
      <c r="G453" s="22">
        <f t="shared" si="116"/>
        <v>0.13333333333333333</v>
      </c>
      <c r="H453" s="22">
        <f>G453*$O$1030</f>
        <v>0</v>
      </c>
    </row>
    <row r="454" spans="1:8" ht="15.75" x14ac:dyDescent="0.45">
      <c r="A454" s="43"/>
      <c r="B454" s="1"/>
      <c r="C454" s="1"/>
      <c r="D454" s="44"/>
      <c r="E454" s="44"/>
      <c r="F454" s="44"/>
      <c r="G454" s="45"/>
      <c r="H454" s="44"/>
    </row>
    <row r="455" spans="1:8" ht="31.5" x14ac:dyDescent="0.45">
      <c r="A455" s="10" t="s">
        <v>152</v>
      </c>
      <c r="B455" s="10" t="s">
        <v>153</v>
      </c>
      <c r="C455" s="12" t="s">
        <v>11</v>
      </c>
      <c r="D455" s="13">
        <v>1</v>
      </c>
      <c r="E455" s="13">
        <v>10</v>
      </c>
      <c r="F455" s="83">
        <v>30</v>
      </c>
      <c r="G455" s="16">
        <f>(D455+D456+D457)*E455/F455</f>
        <v>0.66666666666666663</v>
      </c>
      <c r="H455" s="17">
        <f>G455*$K$3</f>
        <v>9.6666666666666661</v>
      </c>
    </row>
    <row r="456" spans="1:8" ht="15.75" x14ac:dyDescent="0.45">
      <c r="A456" s="18"/>
      <c r="B456" s="18"/>
      <c r="C456" s="12" t="s">
        <v>48</v>
      </c>
      <c r="D456" s="13"/>
      <c r="E456" s="13"/>
      <c r="F456" s="13"/>
      <c r="G456" s="36"/>
      <c r="H456" s="37"/>
    </row>
    <row r="457" spans="1:8" ht="15.75" x14ac:dyDescent="0.45">
      <c r="A457" s="18"/>
      <c r="B457" s="18"/>
      <c r="C457" s="12" t="s">
        <v>139</v>
      </c>
      <c r="D457" s="13">
        <v>1</v>
      </c>
      <c r="E457" s="13"/>
      <c r="F457" s="13"/>
      <c r="G457" s="31"/>
      <c r="H457" s="32"/>
    </row>
    <row r="458" spans="1:8" ht="15.75" x14ac:dyDescent="0.45">
      <c r="A458" s="18"/>
      <c r="B458" s="18"/>
      <c r="C458" s="21" t="s">
        <v>49</v>
      </c>
      <c r="D458" s="22">
        <v>0.15</v>
      </c>
      <c r="E458" s="22">
        <f t="shared" ref="E458:F458" si="118">E455</f>
        <v>10</v>
      </c>
      <c r="F458" s="22">
        <f t="shared" si="118"/>
        <v>30</v>
      </c>
      <c r="G458" s="25">
        <f t="shared" ref="G458:G459" si="119">D458*E458/F458</f>
        <v>0.05</v>
      </c>
      <c r="H458" s="22">
        <f>G458*$O$1039</f>
        <v>0</v>
      </c>
    </row>
    <row r="459" spans="1:8" ht="15.75" x14ac:dyDescent="0.45">
      <c r="A459" s="26"/>
      <c r="B459" s="26"/>
      <c r="C459" s="21" t="s">
        <v>141</v>
      </c>
      <c r="D459" s="22">
        <f>D458</f>
        <v>0.15</v>
      </c>
      <c r="E459" s="22">
        <f t="shared" ref="E459:F459" si="120">E455</f>
        <v>10</v>
      </c>
      <c r="F459" s="22">
        <f t="shared" si="120"/>
        <v>30</v>
      </c>
      <c r="G459" s="25">
        <f t="shared" si="119"/>
        <v>0.05</v>
      </c>
      <c r="H459" s="22">
        <f>G459*$O$1034</f>
        <v>0</v>
      </c>
    </row>
    <row r="460" spans="1:8" ht="15.75" x14ac:dyDescent="0.45">
      <c r="A460" s="43"/>
      <c r="B460" s="1"/>
      <c r="C460" s="1"/>
      <c r="D460" s="44"/>
      <c r="E460" s="44"/>
      <c r="F460" s="44"/>
      <c r="G460" s="45"/>
      <c r="H460" s="44"/>
    </row>
    <row r="461" spans="1:8" ht="31.5" x14ac:dyDescent="0.45">
      <c r="A461" s="10" t="s">
        <v>154</v>
      </c>
      <c r="B461" s="10" t="s">
        <v>155</v>
      </c>
      <c r="C461" s="12" t="s">
        <v>11</v>
      </c>
      <c r="D461" s="13">
        <v>3</v>
      </c>
      <c r="E461" s="13">
        <v>10</v>
      </c>
      <c r="F461" s="83">
        <v>50</v>
      </c>
      <c r="G461" s="16">
        <f>(D461+D462+D463)*E461/F461</f>
        <v>0.8</v>
      </c>
      <c r="H461" s="17">
        <f>G461*$K$3</f>
        <v>11.600000000000001</v>
      </c>
    </row>
    <row r="462" spans="1:8" ht="15.75" x14ac:dyDescent="0.45">
      <c r="A462" s="18"/>
      <c r="B462" s="18"/>
      <c r="C462" s="12" t="s">
        <v>48</v>
      </c>
      <c r="D462" s="13"/>
      <c r="E462" s="13"/>
      <c r="F462" s="13"/>
      <c r="G462" s="36"/>
      <c r="H462" s="37"/>
    </row>
    <row r="463" spans="1:8" ht="15.75" x14ac:dyDescent="0.45">
      <c r="A463" s="18"/>
      <c r="B463" s="18"/>
      <c r="C463" s="12" t="s">
        <v>139</v>
      </c>
      <c r="D463" s="13">
        <v>1</v>
      </c>
      <c r="E463" s="13"/>
      <c r="F463" s="13"/>
      <c r="G463" s="31"/>
      <c r="H463" s="32"/>
    </row>
    <row r="464" spans="1:8" ht="15.75" x14ac:dyDescent="0.45">
      <c r="A464" s="18"/>
      <c r="B464" s="18"/>
      <c r="C464" s="21" t="s">
        <v>49</v>
      </c>
      <c r="D464" s="22">
        <v>0.5</v>
      </c>
      <c r="E464" s="22">
        <f t="shared" ref="E464:F464" si="121">E461</f>
        <v>10</v>
      </c>
      <c r="F464" s="22">
        <f t="shared" si="121"/>
        <v>50</v>
      </c>
      <c r="G464" s="25">
        <f t="shared" ref="G464:G465" si="122">D464*E464/F464</f>
        <v>0.1</v>
      </c>
      <c r="H464" s="22">
        <f>G464*$O$1039</f>
        <v>0</v>
      </c>
    </row>
    <row r="465" spans="1:8" ht="15.75" x14ac:dyDescent="0.45">
      <c r="A465" s="26"/>
      <c r="B465" s="26"/>
      <c r="C465" s="21" t="s">
        <v>141</v>
      </c>
      <c r="D465" s="22">
        <v>1</v>
      </c>
      <c r="E465" s="22">
        <f t="shared" ref="E465:F465" si="123">E461</f>
        <v>10</v>
      </c>
      <c r="F465" s="22">
        <f t="shared" si="123"/>
        <v>50</v>
      </c>
      <c r="G465" s="25">
        <f t="shared" si="122"/>
        <v>0.2</v>
      </c>
      <c r="H465" s="22">
        <f>G465*$O$1034</f>
        <v>0</v>
      </c>
    </row>
    <row r="466" spans="1:8" ht="15.75" x14ac:dyDescent="0.45">
      <c r="A466" s="43"/>
      <c r="B466" s="1"/>
      <c r="C466" s="1"/>
      <c r="D466" s="44"/>
      <c r="E466" s="44"/>
      <c r="F466" s="44"/>
      <c r="G466" s="45"/>
      <c r="H466" s="44"/>
    </row>
    <row r="467" spans="1:8" ht="31.5" x14ac:dyDescent="0.45">
      <c r="A467" s="10" t="s">
        <v>156</v>
      </c>
      <c r="B467" s="10" t="s">
        <v>153</v>
      </c>
      <c r="C467" s="12" t="s">
        <v>11</v>
      </c>
      <c r="D467" s="13">
        <v>3</v>
      </c>
      <c r="E467" s="13">
        <v>10</v>
      </c>
      <c r="F467" s="13">
        <v>80</v>
      </c>
      <c r="G467" s="16">
        <f>(D467+D468+D469)*E467/F467</f>
        <v>0.375</v>
      </c>
      <c r="H467" s="17">
        <f>G467*$K$3</f>
        <v>5.4375</v>
      </c>
    </row>
    <row r="468" spans="1:8" ht="15.75" x14ac:dyDescent="0.45">
      <c r="A468" s="18"/>
      <c r="B468" s="18"/>
      <c r="C468" s="12" t="s">
        <v>48</v>
      </c>
      <c r="D468" s="13"/>
      <c r="E468" s="13"/>
      <c r="F468" s="13"/>
      <c r="G468" s="36"/>
      <c r="H468" s="37"/>
    </row>
    <row r="469" spans="1:8" ht="15.75" x14ac:dyDescent="0.45">
      <c r="A469" s="18"/>
      <c r="B469" s="18"/>
      <c r="C469" s="12" t="s">
        <v>139</v>
      </c>
      <c r="D469" s="13"/>
      <c r="E469" s="13"/>
      <c r="F469" s="13"/>
      <c r="G469" s="31"/>
      <c r="H469" s="32"/>
    </row>
    <row r="470" spans="1:8" ht="47.25" x14ac:dyDescent="0.45">
      <c r="A470" s="18"/>
      <c r="B470" s="18"/>
      <c r="C470" s="22" t="s">
        <v>36</v>
      </c>
      <c r="D470" s="22"/>
      <c r="E470" s="22">
        <f t="shared" ref="E470:F470" si="124">E467</f>
        <v>10</v>
      </c>
      <c r="F470" s="22">
        <f t="shared" si="124"/>
        <v>80</v>
      </c>
      <c r="G470" s="22">
        <f t="shared" ref="G470:G471" si="125">D470*E470/F470</f>
        <v>0</v>
      </c>
      <c r="H470" s="22">
        <f>G470*$O$1029</f>
        <v>0</v>
      </c>
    </row>
    <row r="471" spans="1:8" ht="31.5" x14ac:dyDescent="0.45">
      <c r="A471" s="26"/>
      <c r="B471" s="26"/>
      <c r="C471" s="22" t="s">
        <v>43</v>
      </c>
      <c r="D471" s="22"/>
      <c r="E471" s="22">
        <f t="shared" ref="E471:F471" si="126">E467</f>
        <v>10</v>
      </c>
      <c r="F471" s="22">
        <f t="shared" si="126"/>
        <v>80</v>
      </c>
      <c r="G471" s="22">
        <f t="shared" si="125"/>
        <v>0</v>
      </c>
      <c r="H471" s="22">
        <f>G471*$O$1030</f>
        <v>0</v>
      </c>
    </row>
    <row r="472" spans="1:8" ht="15.75" x14ac:dyDescent="0.45">
      <c r="A472" s="1"/>
      <c r="B472" s="67"/>
      <c r="C472" s="67"/>
      <c r="D472" s="61"/>
      <c r="E472" s="61"/>
      <c r="F472" s="61"/>
      <c r="G472" s="61"/>
      <c r="H472" s="61"/>
    </row>
    <row r="473" spans="1:8" ht="31.5" x14ac:dyDescent="0.45">
      <c r="A473" s="10" t="s">
        <v>157</v>
      </c>
      <c r="B473" s="10" t="s">
        <v>153</v>
      </c>
      <c r="C473" s="12" t="s">
        <v>11</v>
      </c>
      <c r="D473" s="13">
        <v>4</v>
      </c>
      <c r="E473" s="13">
        <v>10</v>
      </c>
      <c r="F473" s="13">
        <v>60</v>
      </c>
      <c r="G473" s="16">
        <f>(D473+D474+D475)*E473/F473</f>
        <v>0.66666666666666663</v>
      </c>
      <c r="H473" s="17">
        <f>G473*$K$3</f>
        <v>9.6666666666666661</v>
      </c>
    </row>
    <row r="474" spans="1:8" ht="15.75" x14ac:dyDescent="0.45">
      <c r="A474" s="18"/>
      <c r="B474" s="18"/>
      <c r="C474" s="12" t="s">
        <v>48</v>
      </c>
      <c r="D474" s="13"/>
      <c r="E474" s="13"/>
      <c r="F474" s="13"/>
      <c r="G474" s="36"/>
      <c r="H474" s="37"/>
    </row>
    <row r="475" spans="1:8" ht="15.75" x14ac:dyDescent="0.45">
      <c r="A475" s="18"/>
      <c r="B475" s="18"/>
      <c r="C475" s="12" t="s">
        <v>139</v>
      </c>
      <c r="D475" s="13"/>
      <c r="E475" s="13"/>
      <c r="F475" s="13"/>
      <c r="G475" s="31"/>
      <c r="H475" s="32"/>
    </row>
    <row r="476" spans="1:8" ht="47.25" x14ac:dyDescent="0.45">
      <c r="A476" s="18"/>
      <c r="B476" s="18"/>
      <c r="C476" s="22" t="s">
        <v>36</v>
      </c>
      <c r="D476" s="22"/>
      <c r="E476" s="22">
        <f t="shared" ref="E476:F476" si="127">E473</f>
        <v>10</v>
      </c>
      <c r="F476" s="22">
        <f t="shared" si="127"/>
        <v>60</v>
      </c>
      <c r="G476" s="22">
        <f t="shared" ref="G476:G477" si="128">D476*E476/F476</f>
        <v>0</v>
      </c>
      <c r="H476" s="22">
        <f>G476*$O$1029</f>
        <v>0</v>
      </c>
    </row>
    <row r="477" spans="1:8" ht="31.5" x14ac:dyDescent="0.45">
      <c r="A477" s="26"/>
      <c r="B477" s="26"/>
      <c r="C477" s="22" t="s">
        <v>43</v>
      </c>
      <c r="D477" s="22"/>
      <c r="E477" s="22">
        <f t="shared" ref="E477:F477" si="129">E473</f>
        <v>10</v>
      </c>
      <c r="F477" s="22">
        <f t="shared" si="129"/>
        <v>60</v>
      </c>
      <c r="G477" s="22">
        <f t="shared" si="128"/>
        <v>0</v>
      </c>
      <c r="H477" s="22">
        <f>G477*$O$1030</f>
        <v>0</v>
      </c>
    </row>
    <row r="478" spans="1:8" ht="15.75" x14ac:dyDescent="0.45">
      <c r="A478" s="1"/>
      <c r="B478" s="67"/>
      <c r="C478" s="67"/>
      <c r="D478" s="61"/>
      <c r="E478" s="61"/>
      <c r="F478" s="61"/>
      <c r="G478" s="61"/>
      <c r="H478" s="61"/>
    </row>
    <row r="479" spans="1:8" ht="31.5" x14ac:dyDescent="0.45">
      <c r="A479" s="10" t="s">
        <v>158</v>
      </c>
      <c r="B479" s="10" t="s">
        <v>159</v>
      </c>
      <c r="C479" s="12" t="s">
        <v>11</v>
      </c>
      <c r="D479" s="13">
        <v>2</v>
      </c>
      <c r="E479" s="13">
        <v>10</v>
      </c>
      <c r="F479" s="13">
        <v>120</v>
      </c>
      <c r="G479" s="16">
        <f>(D479+D480+D481)*E479/F479</f>
        <v>0.16666666666666666</v>
      </c>
      <c r="H479" s="17">
        <f>G479*$K$3</f>
        <v>2.4166666666666665</v>
      </c>
    </row>
    <row r="480" spans="1:8" ht="15.75" x14ac:dyDescent="0.45">
      <c r="A480" s="18"/>
      <c r="B480" s="18"/>
      <c r="C480" s="12" t="s">
        <v>48</v>
      </c>
      <c r="D480" s="13"/>
      <c r="E480" s="13"/>
      <c r="F480" s="13"/>
      <c r="G480" s="36"/>
      <c r="H480" s="37"/>
    </row>
    <row r="481" spans="1:8" ht="15.75" x14ac:dyDescent="0.45">
      <c r="A481" s="18"/>
      <c r="B481" s="18"/>
      <c r="C481" s="12" t="s">
        <v>139</v>
      </c>
      <c r="D481" s="13"/>
      <c r="E481" s="13"/>
      <c r="F481" s="13"/>
      <c r="G481" s="31"/>
      <c r="H481" s="32"/>
    </row>
    <row r="482" spans="1:8" ht="47.25" x14ac:dyDescent="0.45">
      <c r="A482" s="18"/>
      <c r="B482" s="18"/>
      <c r="C482" s="22" t="s">
        <v>36</v>
      </c>
      <c r="D482" s="22"/>
      <c r="E482" s="22">
        <f t="shared" ref="E482:F482" si="130">E479</f>
        <v>10</v>
      </c>
      <c r="F482" s="22">
        <f t="shared" si="130"/>
        <v>120</v>
      </c>
      <c r="G482" s="22">
        <f t="shared" ref="G482:G483" si="131">D482*E482/F482</f>
        <v>0</v>
      </c>
      <c r="H482" s="22">
        <f>G482*$O$1029</f>
        <v>0</v>
      </c>
    </row>
    <row r="483" spans="1:8" ht="31.5" x14ac:dyDescent="0.45">
      <c r="A483" s="26"/>
      <c r="B483" s="26"/>
      <c r="C483" s="22" t="s">
        <v>43</v>
      </c>
      <c r="D483" s="22"/>
      <c r="E483" s="22">
        <f t="shared" ref="E483:F483" si="132">E479</f>
        <v>10</v>
      </c>
      <c r="F483" s="22">
        <f t="shared" si="132"/>
        <v>120</v>
      </c>
      <c r="G483" s="22">
        <f t="shared" si="131"/>
        <v>0</v>
      </c>
      <c r="H483" s="22">
        <f>G483*$O$1030</f>
        <v>0</v>
      </c>
    </row>
    <row r="484" spans="1:8" ht="15.75" x14ac:dyDescent="0.45">
      <c r="A484" s="1"/>
      <c r="B484" s="67"/>
      <c r="C484" s="67"/>
      <c r="D484" s="61"/>
      <c r="E484" s="61"/>
      <c r="F484" s="61"/>
      <c r="G484" s="61"/>
      <c r="H484" s="61"/>
    </row>
    <row r="485" spans="1:8" ht="31.5" x14ac:dyDescent="0.45">
      <c r="A485" s="10" t="s">
        <v>160</v>
      </c>
      <c r="B485" s="10" t="s">
        <v>22</v>
      </c>
      <c r="C485" s="12" t="s">
        <v>10</v>
      </c>
      <c r="D485" s="13">
        <v>1</v>
      </c>
      <c r="E485" s="13">
        <v>10</v>
      </c>
      <c r="F485" s="13">
        <v>1500</v>
      </c>
      <c r="G485" s="16">
        <f>(D485+D486+D487)*E485/F485</f>
        <v>1.3333333333333334E-2</v>
      </c>
      <c r="H485" s="17">
        <f>G485*$K$3</f>
        <v>0.19333333333333336</v>
      </c>
    </row>
    <row r="486" spans="1:8" ht="31.5" x14ac:dyDescent="0.45">
      <c r="A486" s="18"/>
      <c r="B486" s="18"/>
      <c r="C486" s="12" t="s">
        <v>11</v>
      </c>
      <c r="D486" s="13">
        <v>1</v>
      </c>
      <c r="E486" s="13"/>
      <c r="F486" s="13"/>
      <c r="G486" s="36"/>
      <c r="H486" s="37"/>
    </row>
    <row r="487" spans="1:8" ht="15.75" x14ac:dyDescent="0.45">
      <c r="A487" s="18"/>
      <c r="B487" s="18"/>
      <c r="C487" s="12" t="s">
        <v>48</v>
      </c>
      <c r="D487" s="13"/>
      <c r="E487" s="13"/>
      <c r="F487" s="13"/>
      <c r="G487" s="31"/>
      <c r="H487" s="32"/>
    </row>
    <row r="488" spans="1:8" ht="31.5" x14ac:dyDescent="0.45">
      <c r="A488" s="18"/>
      <c r="B488" s="18"/>
      <c r="C488" s="21" t="s">
        <v>12</v>
      </c>
      <c r="D488" s="22">
        <v>0.2</v>
      </c>
      <c r="E488" s="22">
        <f t="shared" ref="E488:F488" si="133">E485</f>
        <v>10</v>
      </c>
      <c r="F488" s="22">
        <f t="shared" si="133"/>
        <v>1500</v>
      </c>
      <c r="G488" s="25">
        <f t="shared" ref="G488:G489" si="134">D488*E488/F488</f>
        <v>1.3333333333333333E-3</v>
      </c>
      <c r="H488" s="22">
        <f>G488*O$1022</f>
        <v>0</v>
      </c>
    </row>
    <row r="489" spans="1:8" ht="15.75" x14ac:dyDescent="0.45">
      <c r="A489" s="26"/>
      <c r="B489" s="26"/>
      <c r="C489" s="21" t="s">
        <v>161</v>
      </c>
      <c r="D489" s="22">
        <v>1</v>
      </c>
      <c r="E489" s="22">
        <f>E485</f>
        <v>10</v>
      </c>
      <c r="F489" s="22">
        <f>F488</f>
        <v>1500</v>
      </c>
      <c r="G489" s="25">
        <f t="shared" si="134"/>
        <v>6.6666666666666671E-3</v>
      </c>
      <c r="H489" s="22">
        <f>G489*$O$1055</f>
        <v>0</v>
      </c>
    </row>
    <row r="490" spans="1:8" ht="15.75" x14ac:dyDescent="0.45">
      <c r="A490" s="1"/>
      <c r="B490" s="1"/>
      <c r="C490" s="1"/>
      <c r="D490" s="44"/>
      <c r="E490" s="44"/>
      <c r="F490" s="44"/>
      <c r="G490" s="45"/>
      <c r="H490" s="44"/>
    </row>
    <row r="491" spans="1:8" ht="31.5" x14ac:dyDescent="0.45">
      <c r="A491" s="10" t="s">
        <v>162</v>
      </c>
      <c r="B491" s="10" t="s">
        <v>22</v>
      </c>
      <c r="C491" s="12" t="s">
        <v>10</v>
      </c>
      <c r="D491" s="13">
        <v>1</v>
      </c>
      <c r="E491" s="13">
        <v>10</v>
      </c>
      <c r="F491" s="13">
        <v>50</v>
      </c>
      <c r="G491" s="16">
        <f>(D491+D492+D493)*E491/F491</f>
        <v>1</v>
      </c>
      <c r="H491" s="17">
        <f>G491*$K$3</f>
        <v>14.5</v>
      </c>
    </row>
    <row r="492" spans="1:8" ht="31.5" x14ac:dyDescent="0.45">
      <c r="A492" s="18"/>
      <c r="B492" s="18"/>
      <c r="C492" s="12" t="s">
        <v>11</v>
      </c>
      <c r="D492" s="13">
        <v>3</v>
      </c>
      <c r="E492" s="13"/>
      <c r="F492" s="13"/>
      <c r="G492" s="36"/>
      <c r="H492" s="37"/>
    </row>
    <row r="493" spans="1:8" ht="15.75" x14ac:dyDescent="0.45">
      <c r="A493" s="18"/>
      <c r="B493" s="18"/>
      <c r="C493" s="12" t="s">
        <v>48</v>
      </c>
      <c r="D493" s="13">
        <v>1</v>
      </c>
      <c r="E493" s="13"/>
      <c r="F493" s="13"/>
      <c r="G493" s="31"/>
      <c r="H493" s="32"/>
    </row>
    <row r="494" spans="1:8" ht="78.75" x14ac:dyDescent="0.45">
      <c r="A494" s="18"/>
      <c r="B494" s="18"/>
      <c r="C494" s="22" t="s">
        <v>13</v>
      </c>
      <c r="D494" s="22">
        <v>0.5</v>
      </c>
      <c r="E494" s="22">
        <f t="shared" ref="E494:F494" si="135">E491</f>
        <v>10</v>
      </c>
      <c r="F494" s="22">
        <f t="shared" si="135"/>
        <v>50</v>
      </c>
      <c r="G494" s="22">
        <f t="shared" ref="G494:G495" si="136">D494*E494/F494</f>
        <v>0.1</v>
      </c>
      <c r="H494" s="22">
        <f>G494*$O$1024</f>
        <v>0</v>
      </c>
    </row>
    <row r="495" spans="1:8" ht="31.5" x14ac:dyDescent="0.45">
      <c r="A495" s="26"/>
      <c r="B495" s="26"/>
      <c r="C495" s="22" t="s">
        <v>163</v>
      </c>
      <c r="D495" s="22">
        <v>1</v>
      </c>
      <c r="E495" s="22">
        <f t="shared" ref="E495:F495" si="137">E491</f>
        <v>10</v>
      </c>
      <c r="F495" s="22">
        <f t="shared" si="137"/>
        <v>50</v>
      </c>
      <c r="G495" s="22">
        <f t="shared" si="136"/>
        <v>0.2</v>
      </c>
      <c r="H495" s="22">
        <f>G495*O$1035</f>
        <v>0</v>
      </c>
    </row>
    <row r="496" spans="1:8" ht="15.75" x14ac:dyDescent="0.45">
      <c r="A496" s="1"/>
      <c r="B496" s="1"/>
      <c r="C496" s="1"/>
      <c r="D496" s="44"/>
      <c r="E496" s="44"/>
      <c r="F496" s="44"/>
      <c r="G496" s="45"/>
      <c r="H496" s="44"/>
    </row>
    <row r="497" spans="1:8" ht="31.5" x14ac:dyDescent="0.45">
      <c r="A497" s="10" t="s">
        <v>164</v>
      </c>
      <c r="B497" s="10" t="s">
        <v>22</v>
      </c>
      <c r="C497" s="12" t="s">
        <v>10</v>
      </c>
      <c r="D497" s="13">
        <v>1</v>
      </c>
      <c r="E497" s="13">
        <v>10</v>
      </c>
      <c r="F497" s="13">
        <v>120</v>
      </c>
      <c r="G497" s="16">
        <f>(D497+D498+D499)*E497/F497</f>
        <v>0.33333333333333331</v>
      </c>
      <c r="H497" s="17">
        <f>G497*$K$3</f>
        <v>4.833333333333333</v>
      </c>
    </row>
    <row r="498" spans="1:8" ht="31.5" x14ac:dyDescent="0.45">
      <c r="A498" s="18"/>
      <c r="B498" s="18"/>
      <c r="C498" s="12" t="s">
        <v>11</v>
      </c>
      <c r="D498" s="13">
        <v>3</v>
      </c>
      <c r="E498" s="13"/>
      <c r="F498" s="13"/>
      <c r="G498" s="36"/>
      <c r="H498" s="37"/>
    </row>
    <row r="499" spans="1:8" ht="15.75" x14ac:dyDescent="0.45">
      <c r="A499" s="18"/>
      <c r="B499" s="18"/>
      <c r="C499" s="12" t="s">
        <v>48</v>
      </c>
      <c r="D499" s="13"/>
      <c r="E499" s="13"/>
      <c r="F499" s="13"/>
      <c r="G499" s="31"/>
      <c r="H499" s="32"/>
    </row>
    <row r="500" spans="1:8" ht="78.75" x14ac:dyDescent="0.45">
      <c r="A500" s="18"/>
      <c r="B500" s="18"/>
      <c r="C500" s="22" t="s">
        <v>13</v>
      </c>
      <c r="D500" s="22">
        <v>1</v>
      </c>
      <c r="E500" s="22">
        <f t="shared" ref="E500:F500" si="138">E497</f>
        <v>10</v>
      </c>
      <c r="F500" s="22">
        <f t="shared" si="138"/>
        <v>120</v>
      </c>
      <c r="G500" s="22">
        <f t="shared" ref="G500:G501" si="139">D500*E500/F500</f>
        <v>8.3333333333333329E-2</v>
      </c>
      <c r="H500" s="22">
        <f>G500*$O$1024</f>
        <v>0</v>
      </c>
    </row>
    <row r="501" spans="1:8" ht="31.5" x14ac:dyDescent="0.45">
      <c r="A501" s="26"/>
      <c r="B501" s="26"/>
      <c r="C501" s="22" t="s">
        <v>43</v>
      </c>
      <c r="D501" s="22">
        <v>0</v>
      </c>
      <c r="E501" s="22">
        <f t="shared" ref="E501:F501" si="140">E497</f>
        <v>10</v>
      </c>
      <c r="F501" s="22">
        <f t="shared" si="140"/>
        <v>120</v>
      </c>
      <c r="G501" s="22">
        <f t="shared" si="139"/>
        <v>0</v>
      </c>
      <c r="H501" s="22">
        <f>G501*$O$1030</f>
        <v>0</v>
      </c>
    </row>
    <row r="502" spans="1:8" ht="15.75" x14ac:dyDescent="0.45">
      <c r="A502" s="1"/>
      <c r="B502" s="1"/>
      <c r="C502" s="1"/>
      <c r="D502" s="44"/>
      <c r="E502" s="44"/>
      <c r="F502" s="44"/>
      <c r="G502" s="45"/>
      <c r="H502" s="44"/>
    </row>
    <row r="503" spans="1:8" ht="31.5" x14ac:dyDescent="0.45">
      <c r="A503" s="10" t="s">
        <v>165</v>
      </c>
      <c r="B503" s="10" t="s">
        <v>22</v>
      </c>
      <c r="C503" s="12" t="s">
        <v>10</v>
      </c>
      <c r="D503" s="13">
        <v>1</v>
      </c>
      <c r="E503" s="13">
        <v>10</v>
      </c>
      <c r="F503" s="13">
        <v>2500</v>
      </c>
      <c r="G503" s="16">
        <f>(D503+D504+D505)*E503/F503</f>
        <v>2.8000000000000001E-2</v>
      </c>
      <c r="H503" s="17">
        <f>G503*$K$3</f>
        <v>0.40600000000000003</v>
      </c>
    </row>
    <row r="504" spans="1:8" ht="31.5" x14ac:dyDescent="0.45">
      <c r="A504" s="18"/>
      <c r="B504" s="18"/>
      <c r="C504" s="12" t="s">
        <v>11</v>
      </c>
      <c r="D504" s="13">
        <v>5</v>
      </c>
      <c r="E504" s="13"/>
      <c r="F504" s="13"/>
      <c r="G504" s="36"/>
      <c r="H504" s="37"/>
    </row>
    <row r="505" spans="1:8" ht="15.75" x14ac:dyDescent="0.45">
      <c r="A505" s="18"/>
      <c r="B505" s="18"/>
      <c r="C505" s="12" t="s">
        <v>48</v>
      </c>
      <c r="D505" s="13">
        <v>1</v>
      </c>
      <c r="E505" s="13"/>
      <c r="F505" s="13"/>
      <c r="G505" s="31"/>
      <c r="H505" s="32"/>
    </row>
    <row r="506" spans="1:8" ht="15.75" x14ac:dyDescent="0.45">
      <c r="A506" s="18"/>
      <c r="B506" s="18"/>
      <c r="C506" s="22" t="s">
        <v>49</v>
      </c>
      <c r="D506" s="22">
        <v>0.5</v>
      </c>
      <c r="E506" s="22">
        <f t="shared" ref="E506:F506" si="141">E503</f>
        <v>10</v>
      </c>
      <c r="F506" s="22">
        <f t="shared" si="141"/>
        <v>2500</v>
      </c>
      <c r="G506" s="22">
        <f t="shared" ref="G506:G511" si="142">D506*E506/F506</f>
        <v>2E-3</v>
      </c>
      <c r="H506" s="22">
        <f>G506*$O$1024</f>
        <v>0</v>
      </c>
    </row>
    <row r="507" spans="1:8" ht="31.5" x14ac:dyDescent="0.45">
      <c r="A507" s="18"/>
      <c r="B507" s="18"/>
      <c r="C507" s="22" t="s">
        <v>166</v>
      </c>
      <c r="D507" s="22">
        <v>1</v>
      </c>
      <c r="E507" s="22">
        <f t="shared" ref="E507:E511" si="143">$E$503</f>
        <v>10</v>
      </c>
      <c r="F507" s="22">
        <f t="shared" ref="F507:F511" si="144">$F$503</f>
        <v>2500</v>
      </c>
      <c r="G507" s="22">
        <f t="shared" si="142"/>
        <v>4.0000000000000001E-3</v>
      </c>
      <c r="H507" s="35">
        <f>300000/120*1.4/260</f>
        <v>13.461538461538462</v>
      </c>
    </row>
    <row r="508" spans="1:8" ht="31.5" x14ac:dyDescent="0.45">
      <c r="A508" s="18"/>
      <c r="B508" s="18"/>
      <c r="C508" s="21" t="s">
        <v>12</v>
      </c>
      <c r="D508" s="22">
        <v>0.5</v>
      </c>
      <c r="E508" s="22">
        <f t="shared" si="143"/>
        <v>10</v>
      </c>
      <c r="F508" s="22">
        <f t="shared" si="144"/>
        <v>2500</v>
      </c>
      <c r="G508" s="22">
        <f t="shared" si="142"/>
        <v>2E-3</v>
      </c>
      <c r="H508" s="22">
        <f>G508*O$1022</f>
        <v>0</v>
      </c>
    </row>
    <row r="509" spans="1:8" ht="63" x14ac:dyDescent="0.45">
      <c r="A509" s="18"/>
      <c r="B509" s="18"/>
      <c r="C509" s="22" t="s">
        <v>19</v>
      </c>
      <c r="D509" s="22">
        <v>2</v>
      </c>
      <c r="E509" s="22">
        <f t="shared" si="143"/>
        <v>10</v>
      </c>
      <c r="F509" s="22">
        <f t="shared" si="144"/>
        <v>2500</v>
      </c>
      <c r="G509" s="22">
        <f t="shared" si="142"/>
        <v>8.0000000000000002E-3</v>
      </c>
      <c r="H509" s="22">
        <f>G509*$O$1050</f>
        <v>0</v>
      </c>
    </row>
    <row r="510" spans="1:8" ht="31.5" x14ac:dyDescent="0.45">
      <c r="A510" s="18"/>
      <c r="B510" s="18"/>
      <c r="C510" s="21" t="s">
        <v>167</v>
      </c>
      <c r="D510" s="22">
        <v>2</v>
      </c>
      <c r="E510" s="22">
        <f t="shared" si="143"/>
        <v>10</v>
      </c>
      <c r="F510" s="22">
        <f t="shared" si="144"/>
        <v>2500</v>
      </c>
      <c r="G510" s="22">
        <f t="shared" si="142"/>
        <v>8.0000000000000002E-3</v>
      </c>
      <c r="H510" s="22">
        <f>G510*O$1038</f>
        <v>0</v>
      </c>
    </row>
    <row r="511" spans="1:8" ht="31.5" x14ac:dyDescent="0.45">
      <c r="A511" s="26"/>
      <c r="B511" s="26"/>
      <c r="C511" s="22" t="s">
        <v>43</v>
      </c>
      <c r="D511" s="22">
        <v>1</v>
      </c>
      <c r="E511" s="22">
        <f t="shared" si="143"/>
        <v>10</v>
      </c>
      <c r="F511" s="22">
        <f t="shared" si="144"/>
        <v>2500</v>
      </c>
      <c r="G511" s="22">
        <f t="shared" si="142"/>
        <v>4.0000000000000001E-3</v>
      </c>
      <c r="H511" s="22">
        <f>G511*$O$1030</f>
        <v>0</v>
      </c>
    </row>
    <row r="512" spans="1:8" ht="15.75" x14ac:dyDescent="0.45">
      <c r="A512" s="1"/>
      <c r="B512" s="1"/>
      <c r="C512" s="1"/>
      <c r="D512" s="44"/>
      <c r="E512" s="44"/>
      <c r="F512" s="44"/>
      <c r="G512" s="45"/>
      <c r="H512" s="44"/>
    </row>
    <row r="513" spans="1:8" ht="31.5" x14ac:dyDescent="0.45">
      <c r="A513" s="10" t="s">
        <v>168</v>
      </c>
      <c r="B513" s="10" t="s">
        <v>22</v>
      </c>
      <c r="C513" s="12" t="s">
        <v>11</v>
      </c>
      <c r="D513" s="13">
        <v>4</v>
      </c>
      <c r="E513" s="13">
        <v>10</v>
      </c>
      <c r="F513" s="13">
        <v>40</v>
      </c>
      <c r="G513" s="16">
        <f>(D513+D514+D515)*E513/F513</f>
        <v>1.25</v>
      </c>
      <c r="H513" s="17">
        <f>G513*$K$3</f>
        <v>18.125</v>
      </c>
    </row>
    <row r="514" spans="1:8" ht="15.75" x14ac:dyDescent="0.45">
      <c r="A514" s="18"/>
      <c r="B514" s="18"/>
      <c r="C514" s="12" t="s">
        <v>48</v>
      </c>
      <c r="D514" s="13">
        <v>1</v>
      </c>
      <c r="E514" s="13"/>
      <c r="F514" s="13"/>
      <c r="G514" s="36"/>
      <c r="H514" s="37"/>
    </row>
    <row r="515" spans="1:8" ht="15.75" x14ac:dyDescent="0.45">
      <c r="A515" s="18"/>
      <c r="B515" s="18"/>
      <c r="C515" s="12" t="s">
        <v>139</v>
      </c>
      <c r="D515" s="13"/>
      <c r="E515" s="13"/>
      <c r="F515" s="13"/>
      <c r="G515" s="31"/>
      <c r="H515" s="32"/>
    </row>
    <row r="516" spans="1:8" ht="31.5" x14ac:dyDescent="0.45">
      <c r="A516" s="18"/>
      <c r="B516" s="18"/>
      <c r="C516" s="22" t="s">
        <v>169</v>
      </c>
      <c r="D516" s="22">
        <v>0</v>
      </c>
      <c r="E516" s="22">
        <f>E513</f>
        <v>10</v>
      </c>
      <c r="F516" s="22">
        <v>100</v>
      </c>
      <c r="G516" s="22">
        <f t="shared" ref="G516:G517" si="145">D516*E516/F516</f>
        <v>0</v>
      </c>
      <c r="H516" s="22">
        <f>G516*O$1035</f>
        <v>0</v>
      </c>
    </row>
    <row r="517" spans="1:8" ht="31.5" x14ac:dyDescent="0.45">
      <c r="A517" s="26"/>
      <c r="B517" s="26"/>
      <c r="C517" s="22" t="s">
        <v>43</v>
      </c>
      <c r="D517" s="22">
        <v>1</v>
      </c>
      <c r="E517" s="22">
        <f>E513</f>
        <v>10</v>
      </c>
      <c r="F517" s="22">
        <f>F513*5</f>
        <v>200</v>
      </c>
      <c r="G517" s="22">
        <f t="shared" si="145"/>
        <v>0.05</v>
      </c>
      <c r="H517" s="22">
        <f>G517*$O$1030</f>
        <v>0</v>
      </c>
    </row>
    <row r="518" spans="1:8" ht="15.75" x14ac:dyDescent="0.45">
      <c r="A518" s="1"/>
      <c r="B518" s="1"/>
      <c r="C518" s="1"/>
      <c r="D518" s="44"/>
      <c r="E518" s="44"/>
      <c r="F518" s="44"/>
      <c r="G518" s="45"/>
      <c r="H518" s="44"/>
    </row>
    <row r="519" spans="1:8" ht="31.5" x14ac:dyDescent="0.45">
      <c r="A519" s="10" t="s">
        <v>170</v>
      </c>
      <c r="B519" s="10" t="s">
        <v>22</v>
      </c>
      <c r="C519" s="12" t="s">
        <v>11</v>
      </c>
      <c r="D519" s="13">
        <v>2</v>
      </c>
      <c r="E519" s="13">
        <v>10</v>
      </c>
      <c r="F519" s="13">
        <v>15</v>
      </c>
      <c r="G519" s="16">
        <f>(D519+D520+D521)*E519/F519</f>
        <v>2</v>
      </c>
      <c r="H519" s="17">
        <f>G519*$K$3</f>
        <v>29</v>
      </c>
    </row>
    <row r="520" spans="1:8" ht="15.75" x14ac:dyDescent="0.45">
      <c r="A520" s="18"/>
      <c r="B520" s="18"/>
      <c r="C520" s="12" t="s">
        <v>48</v>
      </c>
      <c r="D520" s="13">
        <v>0</v>
      </c>
      <c r="E520" s="13"/>
      <c r="F520" s="13"/>
      <c r="G520" s="36"/>
      <c r="H520" s="37"/>
    </row>
    <row r="521" spans="1:8" ht="31.5" x14ac:dyDescent="0.45">
      <c r="A521" s="18"/>
      <c r="B521" s="18"/>
      <c r="C521" s="12" t="s">
        <v>171</v>
      </c>
      <c r="D521" s="13">
        <v>1</v>
      </c>
      <c r="E521" s="13"/>
      <c r="F521" s="13"/>
      <c r="G521" s="31"/>
      <c r="H521" s="32"/>
    </row>
    <row r="522" spans="1:8" ht="31.5" x14ac:dyDescent="0.45">
      <c r="A522" s="18"/>
      <c r="B522" s="18"/>
      <c r="C522" s="21" t="s">
        <v>172</v>
      </c>
      <c r="D522" s="25">
        <v>0</v>
      </c>
      <c r="E522" s="22">
        <f t="shared" ref="E522:F522" si="146">E519</f>
        <v>10</v>
      </c>
      <c r="F522" s="22">
        <f t="shared" si="146"/>
        <v>15</v>
      </c>
      <c r="G522" s="25">
        <f t="shared" ref="G522:G523" si="147">D522*E522/F522</f>
        <v>0</v>
      </c>
      <c r="H522" s="22">
        <f>G522*$O$1040</f>
        <v>0</v>
      </c>
    </row>
    <row r="523" spans="1:8" ht="31.5" x14ac:dyDescent="0.45">
      <c r="A523" s="26"/>
      <c r="B523" s="26"/>
      <c r="C523" s="21" t="s">
        <v>43</v>
      </c>
      <c r="D523" s="25">
        <v>0.15</v>
      </c>
      <c r="E523" s="22">
        <f t="shared" ref="E523:F523" si="148">E519</f>
        <v>10</v>
      </c>
      <c r="F523" s="22">
        <f t="shared" si="148"/>
        <v>15</v>
      </c>
      <c r="G523" s="25">
        <f t="shared" si="147"/>
        <v>0.1</v>
      </c>
      <c r="H523" s="22">
        <f>G523*$O$1030</f>
        <v>0</v>
      </c>
    </row>
    <row r="524" spans="1:8" ht="15.75" x14ac:dyDescent="0.45">
      <c r="A524" s="1"/>
      <c r="B524" s="1"/>
      <c r="C524" s="1"/>
      <c r="D524" s="44"/>
      <c r="E524" s="44"/>
      <c r="F524" s="44"/>
      <c r="G524" s="45"/>
      <c r="H524" s="44"/>
    </row>
    <row r="525" spans="1:8" ht="31.5" x14ac:dyDescent="0.45">
      <c r="A525" s="10" t="s">
        <v>173</v>
      </c>
      <c r="B525" s="10" t="s">
        <v>58</v>
      </c>
      <c r="C525" s="12" t="s">
        <v>11</v>
      </c>
      <c r="D525" s="13">
        <v>1</v>
      </c>
      <c r="E525" s="13">
        <v>10</v>
      </c>
      <c r="F525" s="13">
        <v>150</v>
      </c>
      <c r="G525" s="16">
        <f>(D525+D526+D527)*E525/F525</f>
        <v>0.2</v>
      </c>
      <c r="H525" s="17">
        <f>G525*$K$3</f>
        <v>2.9000000000000004</v>
      </c>
    </row>
    <row r="526" spans="1:8" ht="15.75" x14ac:dyDescent="0.45">
      <c r="A526" s="18"/>
      <c r="B526" s="18"/>
      <c r="C526" s="12" t="s">
        <v>48</v>
      </c>
      <c r="D526" s="13">
        <v>1</v>
      </c>
      <c r="E526" s="13"/>
      <c r="F526" s="13"/>
      <c r="G526" s="36"/>
      <c r="H526" s="37"/>
    </row>
    <row r="527" spans="1:8" ht="31.5" x14ac:dyDescent="0.45">
      <c r="A527" s="18"/>
      <c r="B527" s="18"/>
      <c r="C527" s="12" t="s">
        <v>174</v>
      </c>
      <c r="D527" s="13">
        <v>1</v>
      </c>
      <c r="E527" s="13"/>
      <c r="F527" s="13"/>
      <c r="G527" s="31"/>
      <c r="H527" s="32"/>
    </row>
    <row r="528" spans="1:8" ht="31.5" x14ac:dyDescent="0.45">
      <c r="A528" s="18"/>
      <c r="B528" s="18"/>
      <c r="C528" s="21" t="s">
        <v>172</v>
      </c>
      <c r="D528" s="22">
        <v>0</v>
      </c>
      <c r="E528" s="22">
        <f t="shared" ref="E528:F528" si="149">E525</f>
        <v>10</v>
      </c>
      <c r="F528" s="22">
        <f t="shared" si="149"/>
        <v>150</v>
      </c>
      <c r="G528" s="25">
        <f t="shared" ref="G528:G529" si="150">D528*E528/F528</f>
        <v>0</v>
      </c>
      <c r="H528" s="22">
        <f>G528*$O$1040</f>
        <v>0</v>
      </c>
    </row>
    <row r="529" spans="1:8" ht="31.5" x14ac:dyDescent="0.45">
      <c r="A529" s="26"/>
      <c r="B529" s="26"/>
      <c r="C529" s="21" t="s">
        <v>43</v>
      </c>
      <c r="D529" s="22">
        <v>0.5</v>
      </c>
      <c r="E529" s="22">
        <f t="shared" ref="E529:F529" si="151">E525</f>
        <v>10</v>
      </c>
      <c r="F529" s="22">
        <f t="shared" si="151"/>
        <v>150</v>
      </c>
      <c r="G529" s="25">
        <f t="shared" si="150"/>
        <v>3.3333333333333333E-2</v>
      </c>
      <c r="H529" s="22">
        <f>G529*$O$1030</f>
        <v>0</v>
      </c>
    </row>
    <row r="530" spans="1:8" ht="15.75" x14ac:dyDescent="0.45">
      <c r="A530" s="1"/>
      <c r="B530" s="1"/>
      <c r="C530" s="1"/>
      <c r="D530" s="44"/>
      <c r="E530" s="44"/>
      <c r="F530" s="44"/>
      <c r="G530" s="45"/>
      <c r="H530" s="44"/>
    </row>
    <row r="531" spans="1:8" ht="31.5" x14ac:dyDescent="0.45">
      <c r="A531" s="10" t="s">
        <v>175</v>
      </c>
      <c r="B531" s="10" t="s">
        <v>176</v>
      </c>
      <c r="C531" s="12" t="s">
        <v>11</v>
      </c>
      <c r="D531" s="13">
        <v>3</v>
      </c>
      <c r="E531" s="13">
        <v>10</v>
      </c>
      <c r="F531" s="13">
        <v>50</v>
      </c>
      <c r="G531" s="16">
        <f>(D531+D532+D533)*E531/F531</f>
        <v>0.8</v>
      </c>
      <c r="H531" s="17">
        <f>G531*$K$3</f>
        <v>11.600000000000001</v>
      </c>
    </row>
    <row r="532" spans="1:8" ht="15.75" x14ac:dyDescent="0.45">
      <c r="A532" s="18"/>
      <c r="B532" s="18"/>
      <c r="C532" s="12" t="s">
        <v>48</v>
      </c>
      <c r="D532" s="13">
        <v>1</v>
      </c>
      <c r="E532" s="13"/>
      <c r="F532" s="13"/>
      <c r="G532" s="36"/>
      <c r="H532" s="37"/>
    </row>
    <row r="533" spans="1:8" ht="15.75" x14ac:dyDescent="0.45">
      <c r="A533" s="18"/>
      <c r="B533" s="18"/>
      <c r="C533" s="12" t="s">
        <v>139</v>
      </c>
      <c r="D533" s="13">
        <v>0</v>
      </c>
      <c r="E533" s="13"/>
      <c r="F533" s="13"/>
      <c r="G533" s="31"/>
      <c r="H533" s="32"/>
    </row>
    <row r="534" spans="1:8" ht="47.25" x14ac:dyDescent="0.45">
      <c r="A534" s="18"/>
      <c r="B534" s="18"/>
      <c r="C534" s="22" t="s">
        <v>177</v>
      </c>
      <c r="D534" s="22">
        <v>1</v>
      </c>
      <c r="E534" s="22">
        <f t="shared" ref="E534:F534" si="152">E531</f>
        <v>10</v>
      </c>
      <c r="F534" s="22">
        <f t="shared" si="152"/>
        <v>50</v>
      </c>
      <c r="G534" s="22">
        <f t="shared" ref="G534:G536" si="153">D534*E534/F534</f>
        <v>0.2</v>
      </c>
      <c r="H534" s="22">
        <f>G534*$O$1024</f>
        <v>0</v>
      </c>
    </row>
    <row r="535" spans="1:8" ht="31.5" x14ac:dyDescent="0.45">
      <c r="A535" s="18"/>
      <c r="B535" s="18"/>
      <c r="C535" s="22" t="s">
        <v>178</v>
      </c>
      <c r="D535" s="22">
        <v>0.5</v>
      </c>
      <c r="E535" s="22">
        <f t="shared" ref="E535:F535" si="154">E531</f>
        <v>10</v>
      </c>
      <c r="F535" s="22">
        <f t="shared" si="154"/>
        <v>50</v>
      </c>
      <c r="G535" s="22">
        <f t="shared" si="153"/>
        <v>0.1</v>
      </c>
      <c r="H535" s="22">
        <f>G535*$O$1029</f>
        <v>0</v>
      </c>
    </row>
    <row r="536" spans="1:8" ht="31.5" x14ac:dyDescent="0.45">
      <c r="A536" s="26"/>
      <c r="B536" s="26"/>
      <c r="C536" s="22" t="s">
        <v>43</v>
      </c>
      <c r="D536" s="22">
        <v>0</v>
      </c>
      <c r="E536" s="22">
        <f t="shared" ref="E536:F536" si="155">E531</f>
        <v>10</v>
      </c>
      <c r="F536" s="22">
        <f t="shared" si="155"/>
        <v>50</v>
      </c>
      <c r="G536" s="22">
        <f t="shared" si="153"/>
        <v>0</v>
      </c>
      <c r="H536" s="22">
        <f>G536*$O$1030</f>
        <v>0</v>
      </c>
    </row>
    <row r="537" spans="1:8" ht="15.75" x14ac:dyDescent="0.45">
      <c r="A537" s="1"/>
      <c r="B537" s="1"/>
      <c r="C537" s="1"/>
      <c r="D537" s="44"/>
      <c r="E537" s="44"/>
      <c r="F537" s="44"/>
      <c r="G537" s="45"/>
      <c r="H537" s="44"/>
    </row>
    <row r="538" spans="1:8" ht="31.5" x14ac:dyDescent="0.45">
      <c r="A538" s="10" t="s">
        <v>179</v>
      </c>
      <c r="B538" s="10" t="s">
        <v>176</v>
      </c>
      <c r="C538" s="12" t="s">
        <v>11</v>
      </c>
      <c r="D538" s="13">
        <v>3</v>
      </c>
      <c r="E538" s="13">
        <v>10</v>
      </c>
      <c r="F538" s="13">
        <v>30</v>
      </c>
      <c r="G538" s="16">
        <f>(D538+D539+D540)*E538/F538</f>
        <v>1</v>
      </c>
      <c r="H538" s="17">
        <f>G538*$K$3</f>
        <v>14.5</v>
      </c>
    </row>
    <row r="539" spans="1:8" ht="15.75" x14ac:dyDescent="0.45">
      <c r="A539" s="18"/>
      <c r="B539" s="18"/>
      <c r="C539" s="12" t="s">
        <v>48</v>
      </c>
      <c r="D539" s="13"/>
      <c r="E539" s="13"/>
      <c r="F539" s="13"/>
      <c r="G539" s="36"/>
      <c r="H539" s="37"/>
    </row>
    <row r="540" spans="1:8" ht="15.75" x14ac:dyDescent="0.45">
      <c r="A540" s="18"/>
      <c r="B540" s="18"/>
      <c r="C540" s="12" t="s">
        <v>139</v>
      </c>
      <c r="D540" s="13"/>
      <c r="E540" s="13"/>
      <c r="F540" s="13"/>
      <c r="G540" s="31"/>
      <c r="H540" s="32"/>
    </row>
    <row r="541" spans="1:8" ht="47.25" x14ac:dyDescent="0.45">
      <c r="A541" s="18"/>
      <c r="B541" s="18"/>
      <c r="C541" s="22" t="s">
        <v>177</v>
      </c>
      <c r="D541" s="22">
        <v>1</v>
      </c>
      <c r="E541" s="22">
        <f t="shared" ref="E541:F541" si="156">E538</f>
        <v>10</v>
      </c>
      <c r="F541" s="22">
        <f t="shared" si="156"/>
        <v>30</v>
      </c>
      <c r="G541" s="22">
        <f t="shared" ref="G541:G543" si="157">D541*E541/F541</f>
        <v>0.33333333333333331</v>
      </c>
      <c r="H541" s="22">
        <f>G541*$O$1024</f>
        <v>0</v>
      </c>
    </row>
    <row r="542" spans="1:8" ht="31.5" x14ac:dyDescent="0.45">
      <c r="A542" s="18"/>
      <c r="B542" s="18"/>
      <c r="C542" s="22" t="s">
        <v>178</v>
      </c>
      <c r="D542" s="22">
        <v>0.5</v>
      </c>
      <c r="E542" s="22">
        <f t="shared" ref="E542:F542" si="158">E538</f>
        <v>10</v>
      </c>
      <c r="F542" s="22">
        <f t="shared" si="158"/>
        <v>30</v>
      </c>
      <c r="G542" s="22">
        <f t="shared" si="157"/>
        <v>0.16666666666666666</v>
      </c>
      <c r="H542" s="22">
        <f>G542*$O$1029</f>
        <v>0</v>
      </c>
    </row>
    <row r="543" spans="1:8" ht="31.5" x14ac:dyDescent="0.45">
      <c r="A543" s="26"/>
      <c r="B543" s="26"/>
      <c r="C543" s="22" t="s">
        <v>43</v>
      </c>
      <c r="D543" s="22">
        <v>0</v>
      </c>
      <c r="E543" s="22">
        <f t="shared" ref="E543:F543" si="159">E538</f>
        <v>10</v>
      </c>
      <c r="F543" s="22">
        <f t="shared" si="159"/>
        <v>30</v>
      </c>
      <c r="G543" s="22">
        <f t="shared" si="157"/>
        <v>0</v>
      </c>
      <c r="H543" s="22">
        <f>G543*$O$1030</f>
        <v>0</v>
      </c>
    </row>
    <row r="544" spans="1:8" ht="15.75" x14ac:dyDescent="0.45">
      <c r="A544" s="1"/>
      <c r="B544" s="1"/>
      <c r="C544" s="1"/>
      <c r="D544" s="44"/>
      <c r="E544" s="44"/>
      <c r="F544" s="44"/>
      <c r="G544" s="45"/>
      <c r="H544" s="44"/>
    </row>
    <row r="545" spans="1:8" ht="15.75" x14ac:dyDescent="0.45">
      <c r="A545" s="10" t="s">
        <v>180</v>
      </c>
      <c r="B545" s="10" t="s">
        <v>176</v>
      </c>
      <c r="C545" s="12" t="s">
        <v>181</v>
      </c>
      <c r="D545" s="13">
        <v>1</v>
      </c>
      <c r="E545" s="13">
        <v>10</v>
      </c>
      <c r="F545" s="13">
        <v>20</v>
      </c>
      <c r="G545" s="16">
        <f>(D545+D546+D547)*E545/F545</f>
        <v>1.5</v>
      </c>
      <c r="H545" s="17">
        <f>G545*$K$3</f>
        <v>21.75</v>
      </c>
    </row>
    <row r="546" spans="1:8" ht="15.75" x14ac:dyDescent="0.45">
      <c r="A546" s="18"/>
      <c r="B546" s="18"/>
      <c r="C546" s="12" t="s">
        <v>48</v>
      </c>
      <c r="D546" s="13">
        <v>2</v>
      </c>
      <c r="E546" s="13"/>
      <c r="F546" s="13"/>
      <c r="G546" s="36"/>
      <c r="H546" s="37"/>
    </row>
    <row r="547" spans="1:8" ht="15.75" x14ac:dyDescent="0.45">
      <c r="A547" s="18"/>
      <c r="B547" s="18"/>
      <c r="C547" s="12" t="s">
        <v>139</v>
      </c>
      <c r="D547" s="13">
        <v>0</v>
      </c>
      <c r="E547" s="13"/>
      <c r="F547" s="13"/>
      <c r="G547" s="31"/>
      <c r="H547" s="32"/>
    </row>
    <row r="548" spans="1:8" ht="47.25" x14ac:dyDescent="0.45">
      <c r="A548" s="18"/>
      <c r="B548" s="18"/>
      <c r="C548" s="22" t="s">
        <v>177</v>
      </c>
      <c r="D548" s="22">
        <v>1</v>
      </c>
      <c r="E548" s="22">
        <f>E545</f>
        <v>10</v>
      </c>
      <c r="F548" s="22">
        <f t="shared" ref="F548:F550" si="160">$F$545</f>
        <v>20</v>
      </c>
      <c r="G548" s="22">
        <f t="shared" ref="G548:G550" si="161">D548*E548/F548</f>
        <v>0.5</v>
      </c>
      <c r="H548" s="22">
        <f>G548*$O$1024</f>
        <v>0</v>
      </c>
    </row>
    <row r="549" spans="1:8" ht="31.5" x14ac:dyDescent="0.45">
      <c r="A549" s="18"/>
      <c r="B549" s="18"/>
      <c r="C549" s="22" t="s">
        <v>178</v>
      </c>
      <c r="D549" s="22">
        <v>0.5</v>
      </c>
      <c r="E549" s="22">
        <f>E545</f>
        <v>10</v>
      </c>
      <c r="F549" s="22">
        <f t="shared" si="160"/>
        <v>20</v>
      </c>
      <c r="G549" s="22">
        <f t="shared" si="161"/>
        <v>0.25</v>
      </c>
      <c r="H549" s="22">
        <f>G549*$O$1029</f>
        <v>0</v>
      </c>
    </row>
    <row r="550" spans="1:8" ht="31.5" x14ac:dyDescent="0.45">
      <c r="A550" s="26"/>
      <c r="B550" s="26"/>
      <c r="C550" s="22" t="s">
        <v>43</v>
      </c>
      <c r="D550" s="22">
        <v>0</v>
      </c>
      <c r="E550" s="22">
        <f>E545</f>
        <v>10</v>
      </c>
      <c r="F550" s="22">
        <f t="shared" si="160"/>
        <v>20</v>
      </c>
      <c r="G550" s="22">
        <f t="shared" si="161"/>
        <v>0</v>
      </c>
      <c r="H550" s="22">
        <f>G550*$O$1030</f>
        <v>0</v>
      </c>
    </row>
    <row r="551" spans="1:8" ht="15.75" x14ac:dyDescent="0.45">
      <c r="A551" s="1"/>
      <c r="B551" s="1"/>
      <c r="C551" s="1"/>
      <c r="D551" s="44"/>
      <c r="E551" s="44"/>
      <c r="F551" s="44"/>
      <c r="G551" s="45"/>
      <c r="H551" s="44"/>
    </row>
    <row r="552" spans="1:8" ht="31.5" x14ac:dyDescent="0.45">
      <c r="A552" s="10" t="s">
        <v>182</v>
      </c>
      <c r="B552" s="10" t="s">
        <v>22</v>
      </c>
      <c r="C552" s="12" t="s">
        <v>11</v>
      </c>
      <c r="D552" s="13">
        <v>2</v>
      </c>
      <c r="E552" s="13">
        <v>10</v>
      </c>
      <c r="F552" s="13">
        <v>20</v>
      </c>
      <c r="G552" s="16">
        <f>(D552+D553+D554)*E552/F552</f>
        <v>1.5</v>
      </c>
      <c r="H552" s="17">
        <f>G552*$K$3</f>
        <v>21.75</v>
      </c>
    </row>
    <row r="553" spans="1:8" ht="15.75" x14ac:dyDescent="0.45">
      <c r="A553" s="18"/>
      <c r="B553" s="18"/>
      <c r="C553" s="12" t="s">
        <v>48</v>
      </c>
      <c r="D553" s="13"/>
      <c r="E553" s="13"/>
      <c r="F553" s="13"/>
      <c r="G553" s="36"/>
      <c r="H553" s="37"/>
    </row>
    <row r="554" spans="1:8" ht="15.75" x14ac:dyDescent="0.45">
      <c r="A554" s="18"/>
      <c r="B554" s="18"/>
      <c r="C554" s="13" t="s">
        <v>139</v>
      </c>
      <c r="D554" s="13">
        <v>1</v>
      </c>
      <c r="E554" s="13"/>
      <c r="F554" s="13"/>
      <c r="G554" s="31"/>
      <c r="H554" s="32"/>
    </row>
    <row r="555" spans="1:8" ht="31.5" x14ac:dyDescent="0.45">
      <c r="A555" s="18"/>
      <c r="B555" s="18"/>
      <c r="C555" s="22" t="s">
        <v>172</v>
      </c>
      <c r="D555" s="22">
        <v>1</v>
      </c>
      <c r="E555" s="22">
        <f t="shared" ref="E555:F555" si="162">E552</f>
        <v>10</v>
      </c>
      <c r="F555" s="22">
        <f t="shared" si="162"/>
        <v>20</v>
      </c>
      <c r="G555" s="22">
        <f t="shared" ref="G555:G556" si="163">D555*E555/F555</f>
        <v>0.5</v>
      </c>
      <c r="H555" s="22">
        <f>G555*$O$1040</f>
        <v>0</v>
      </c>
    </row>
    <row r="556" spans="1:8" ht="31.5" x14ac:dyDescent="0.45">
      <c r="A556" s="26"/>
      <c r="B556" s="26"/>
      <c r="C556" s="22" t="s">
        <v>43</v>
      </c>
      <c r="D556" s="22">
        <v>0.5</v>
      </c>
      <c r="E556" s="22">
        <f t="shared" ref="E556:F556" si="164">E552</f>
        <v>10</v>
      </c>
      <c r="F556" s="22">
        <f t="shared" si="164"/>
        <v>20</v>
      </c>
      <c r="G556" s="22">
        <f t="shared" si="163"/>
        <v>0.25</v>
      </c>
      <c r="H556" s="22">
        <f>G556*$O$1030</f>
        <v>0</v>
      </c>
    </row>
    <row r="557" spans="1:8" ht="15.75" x14ac:dyDescent="0.45">
      <c r="A557" s="1"/>
      <c r="B557" s="1"/>
      <c r="C557" s="1"/>
      <c r="D557" s="44"/>
      <c r="E557" s="44"/>
      <c r="F557" s="44"/>
      <c r="G557" s="45"/>
      <c r="H557" s="44"/>
    </row>
    <row r="558" spans="1:8" ht="31.5" x14ac:dyDescent="0.45">
      <c r="A558" s="10" t="s">
        <v>183</v>
      </c>
      <c r="B558" s="10" t="s">
        <v>176</v>
      </c>
      <c r="C558" s="12" t="s">
        <v>11</v>
      </c>
      <c r="D558" s="13">
        <v>3</v>
      </c>
      <c r="E558" s="13">
        <v>10</v>
      </c>
      <c r="F558" s="13">
        <f>30*3</f>
        <v>90</v>
      </c>
      <c r="G558" s="16">
        <f>(D558+D559+D560)*E558/F558</f>
        <v>0.33333333333333331</v>
      </c>
      <c r="H558" s="17">
        <f>G558*$K$3</f>
        <v>4.833333333333333</v>
      </c>
    </row>
    <row r="559" spans="1:8" ht="15.75" x14ac:dyDescent="0.45">
      <c r="A559" s="18"/>
      <c r="B559" s="18"/>
      <c r="C559" s="12" t="s">
        <v>48</v>
      </c>
      <c r="D559" s="13">
        <v>0</v>
      </c>
      <c r="E559" s="13"/>
      <c r="F559" s="13"/>
      <c r="G559" s="36"/>
      <c r="H559" s="37"/>
    </row>
    <row r="560" spans="1:8" ht="15.75" x14ac:dyDescent="0.45">
      <c r="A560" s="18"/>
      <c r="B560" s="18"/>
      <c r="C560" s="12" t="s">
        <v>139</v>
      </c>
      <c r="D560" s="13">
        <v>0</v>
      </c>
      <c r="E560" s="13"/>
      <c r="F560" s="13"/>
      <c r="G560" s="31"/>
      <c r="H560" s="32"/>
    </row>
    <row r="561" spans="1:8" ht="31.5" x14ac:dyDescent="0.45">
      <c r="A561" s="18"/>
      <c r="B561" s="18"/>
      <c r="C561" s="22" t="s">
        <v>97</v>
      </c>
      <c r="D561" s="22">
        <v>0.5</v>
      </c>
      <c r="E561" s="22">
        <f t="shared" ref="E561:F561" si="165">E558</f>
        <v>10</v>
      </c>
      <c r="F561" s="22">
        <f t="shared" si="165"/>
        <v>90</v>
      </c>
      <c r="G561" s="22">
        <f t="shared" ref="G561:G562" si="166">D561*E561/F561</f>
        <v>5.5555555555555552E-2</v>
      </c>
      <c r="H561" s="22">
        <f>G561*O$1027</f>
        <v>0</v>
      </c>
    </row>
    <row r="562" spans="1:8" ht="31.5" x14ac:dyDescent="0.45">
      <c r="A562" s="26"/>
      <c r="B562" s="26"/>
      <c r="C562" s="22" t="s">
        <v>184</v>
      </c>
      <c r="D562" s="22">
        <v>1</v>
      </c>
      <c r="E562" s="22">
        <f t="shared" ref="E562:F562" si="167">E558</f>
        <v>10</v>
      </c>
      <c r="F562" s="22">
        <f t="shared" si="167"/>
        <v>90</v>
      </c>
      <c r="G562" s="22">
        <f t="shared" si="166"/>
        <v>0.1111111111111111</v>
      </c>
      <c r="H562" s="71">
        <f>G562*$O$1037</f>
        <v>0</v>
      </c>
    </row>
    <row r="563" spans="1:8" ht="15.75" x14ac:dyDescent="0.45">
      <c r="A563" s="1"/>
      <c r="B563" s="1"/>
      <c r="C563" s="1"/>
      <c r="D563" s="44"/>
      <c r="E563" s="44"/>
      <c r="F563" s="44"/>
      <c r="G563" s="45"/>
      <c r="H563" s="44"/>
    </row>
    <row r="564" spans="1:8" ht="31.5" x14ac:dyDescent="0.45">
      <c r="A564" s="10" t="s">
        <v>185</v>
      </c>
      <c r="B564" s="10" t="s">
        <v>176</v>
      </c>
      <c r="C564" s="12" t="s">
        <v>11</v>
      </c>
      <c r="D564" s="13">
        <v>2</v>
      </c>
      <c r="E564" s="13">
        <v>10</v>
      </c>
      <c r="F564" s="13">
        <f>10*3</f>
        <v>30</v>
      </c>
      <c r="G564" s="16">
        <f>(D564+D565+D566)*E564/F564</f>
        <v>0.66666666666666663</v>
      </c>
      <c r="H564" s="17">
        <f>G564*$K$3</f>
        <v>9.6666666666666661</v>
      </c>
    </row>
    <row r="565" spans="1:8" ht="15.75" x14ac:dyDescent="0.45">
      <c r="A565" s="18"/>
      <c r="B565" s="18"/>
      <c r="C565" s="12" t="s">
        <v>48</v>
      </c>
      <c r="D565" s="13">
        <v>0</v>
      </c>
      <c r="E565" s="13"/>
      <c r="F565" s="13"/>
      <c r="G565" s="36"/>
      <c r="H565" s="37"/>
    </row>
    <row r="566" spans="1:8" ht="15.75" x14ac:dyDescent="0.45">
      <c r="A566" s="18"/>
      <c r="B566" s="18"/>
      <c r="C566" s="12" t="s">
        <v>139</v>
      </c>
      <c r="D566" s="13">
        <v>0</v>
      </c>
      <c r="E566" s="13"/>
      <c r="F566" s="13"/>
      <c r="G566" s="31"/>
      <c r="H566" s="32"/>
    </row>
    <row r="567" spans="1:8" ht="31.5" x14ac:dyDescent="0.45">
      <c r="A567" s="18"/>
      <c r="B567" s="18"/>
      <c r="C567" s="22" t="s">
        <v>186</v>
      </c>
      <c r="D567" s="22">
        <v>1</v>
      </c>
      <c r="E567" s="22">
        <f t="shared" ref="E567:F567" si="168">E564</f>
        <v>10</v>
      </c>
      <c r="F567" s="22">
        <f t="shared" si="168"/>
        <v>30</v>
      </c>
      <c r="G567" s="22">
        <f t="shared" ref="G567:G568" si="169">D567*E567/F567</f>
        <v>0.33333333333333331</v>
      </c>
      <c r="H567" s="22">
        <f>G567*$O$1044</f>
        <v>0</v>
      </c>
    </row>
    <row r="568" spans="1:8" ht="31.5" x14ac:dyDescent="0.45">
      <c r="A568" s="26"/>
      <c r="B568" s="26"/>
      <c r="C568" s="22" t="s">
        <v>184</v>
      </c>
      <c r="D568" s="22">
        <v>1</v>
      </c>
      <c r="E568" s="22">
        <f t="shared" ref="E568:F568" si="170">E564</f>
        <v>10</v>
      </c>
      <c r="F568" s="22">
        <f t="shared" si="170"/>
        <v>30</v>
      </c>
      <c r="G568" s="22">
        <f t="shared" si="169"/>
        <v>0.33333333333333331</v>
      </c>
      <c r="H568" s="71">
        <f>G568*$O$1037</f>
        <v>0</v>
      </c>
    </row>
    <row r="569" spans="1:8" ht="15.75" x14ac:dyDescent="0.45">
      <c r="A569" s="1"/>
      <c r="B569" s="1"/>
      <c r="C569" s="1"/>
      <c r="D569" s="44"/>
      <c r="E569" s="44"/>
      <c r="F569" s="44"/>
      <c r="G569" s="45"/>
      <c r="H569" s="44"/>
    </row>
    <row r="570" spans="1:8" ht="31.5" x14ac:dyDescent="0.45">
      <c r="A570" s="10" t="s">
        <v>187</v>
      </c>
      <c r="B570" s="10" t="s">
        <v>176</v>
      </c>
      <c r="C570" s="12" t="s">
        <v>11</v>
      </c>
      <c r="D570" s="13">
        <v>2</v>
      </c>
      <c r="E570" s="13">
        <v>10</v>
      </c>
      <c r="F570" s="13">
        <f>3*3</f>
        <v>9</v>
      </c>
      <c r="G570" s="16">
        <f>(D570+D571+D572)*E570/F570</f>
        <v>2.2222222222222223</v>
      </c>
      <c r="H570" s="17">
        <f>G570*$K$3</f>
        <v>32.222222222222221</v>
      </c>
    </row>
    <row r="571" spans="1:8" ht="15.75" x14ac:dyDescent="0.45">
      <c r="A571" s="18"/>
      <c r="B571" s="18"/>
      <c r="C571" s="12" t="s">
        <v>48</v>
      </c>
      <c r="D571" s="13">
        <v>0</v>
      </c>
      <c r="E571" s="13"/>
      <c r="F571" s="13"/>
      <c r="G571" s="36"/>
      <c r="H571" s="37"/>
    </row>
    <row r="572" spans="1:8" ht="15.75" x14ac:dyDescent="0.45">
      <c r="A572" s="18"/>
      <c r="B572" s="18"/>
      <c r="C572" s="12" t="s">
        <v>139</v>
      </c>
      <c r="D572" s="13">
        <v>0</v>
      </c>
      <c r="E572" s="13"/>
      <c r="F572" s="13"/>
      <c r="G572" s="31"/>
      <c r="H572" s="32"/>
    </row>
    <row r="573" spans="1:8" ht="31.5" x14ac:dyDescent="0.45">
      <c r="A573" s="18"/>
      <c r="B573" s="18"/>
      <c r="C573" s="22" t="s">
        <v>188</v>
      </c>
      <c r="D573" s="22">
        <v>1</v>
      </c>
      <c r="E573" s="22">
        <f t="shared" ref="E573:F573" si="171">E570</f>
        <v>10</v>
      </c>
      <c r="F573" s="22">
        <f t="shared" si="171"/>
        <v>9</v>
      </c>
      <c r="G573" s="22">
        <f t="shared" ref="G573:G574" si="172">D573*E573/F573</f>
        <v>1.1111111111111112</v>
      </c>
      <c r="H573" s="22">
        <f>G573*$O$1045</f>
        <v>0</v>
      </c>
    </row>
    <row r="574" spans="1:8" ht="31.5" x14ac:dyDescent="0.45">
      <c r="A574" s="26"/>
      <c r="B574" s="26"/>
      <c r="C574" s="22" t="s">
        <v>184</v>
      </c>
      <c r="D574" s="22">
        <v>1</v>
      </c>
      <c r="E574" s="22">
        <f t="shared" ref="E574:F574" si="173">E570</f>
        <v>10</v>
      </c>
      <c r="F574" s="22">
        <f t="shared" si="173"/>
        <v>9</v>
      </c>
      <c r="G574" s="22">
        <f t="shared" si="172"/>
        <v>1.1111111111111112</v>
      </c>
      <c r="H574" s="71">
        <f>G574*$O$1037</f>
        <v>0</v>
      </c>
    </row>
    <row r="575" spans="1:8" ht="15.75" x14ac:dyDescent="0.45">
      <c r="A575" s="1"/>
      <c r="B575" s="1"/>
      <c r="C575" s="1"/>
      <c r="D575" s="44"/>
      <c r="E575" s="44"/>
      <c r="F575" s="44"/>
      <c r="G575" s="45"/>
      <c r="H575" s="44"/>
    </row>
    <row r="576" spans="1:8" ht="31.5" x14ac:dyDescent="0.45">
      <c r="A576" s="10" t="s">
        <v>189</v>
      </c>
      <c r="B576" s="10" t="s">
        <v>153</v>
      </c>
      <c r="C576" s="12" t="s">
        <v>11</v>
      </c>
      <c r="D576" s="13">
        <v>3</v>
      </c>
      <c r="E576" s="13">
        <v>10</v>
      </c>
      <c r="F576" s="13">
        <v>20</v>
      </c>
      <c r="G576" s="16">
        <f>(D576+D577+D578)*E576/F576</f>
        <v>2</v>
      </c>
      <c r="H576" s="17">
        <f>G576*$K$3</f>
        <v>29</v>
      </c>
    </row>
    <row r="577" spans="1:8" ht="15.75" x14ac:dyDescent="0.45">
      <c r="A577" s="18"/>
      <c r="B577" s="18"/>
      <c r="C577" s="12" t="s">
        <v>48</v>
      </c>
      <c r="D577" s="13"/>
      <c r="E577" s="13"/>
      <c r="F577" s="13"/>
      <c r="G577" s="36"/>
      <c r="H577" s="37"/>
    </row>
    <row r="578" spans="1:8" ht="15.75" x14ac:dyDescent="0.45">
      <c r="A578" s="18"/>
      <c r="B578" s="18"/>
      <c r="C578" s="12" t="s">
        <v>139</v>
      </c>
      <c r="D578" s="13">
        <v>1</v>
      </c>
      <c r="E578" s="13"/>
      <c r="F578" s="13"/>
      <c r="G578" s="31"/>
      <c r="H578" s="32"/>
    </row>
    <row r="579" spans="1:8" ht="31.5" x14ac:dyDescent="0.45">
      <c r="A579" s="18"/>
      <c r="B579" s="18"/>
      <c r="C579" s="22" t="s">
        <v>172</v>
      </c>
      <c r="D579" s="22">
        <v>0</v>
      </c>
      <c r="E579" s="22">
        <f t="shared" ref="E579:F579" si="174">E576</f>
        <v>10</v>
      </c>
      <c r="F579" s="22">
        <f t="shared" si="174"/>
        <v>20</v>
      </c>
      <c r="G579" s="22">
        <f t="shared" ref="G579:G580" si="175">D579*E579/F579</f>
        <v>0</v>
      </c>
      <c r="H579" s="22">
        <f>G579*$O$1040</f>
        <v>0</v>
      </c>
    </row>
    <row r="580" spans="1:8" ht="31.5" x14ac:dyDescent="0.45">
      <c r="A580" s="26"/>
      <c r="B580" s="26"/>
      <c r="C580" s="22" t="s">
        <v>43</v>
      </c>
      <c r="D580" s="22">
        <v>0.3</v>
      </c>
      <c r="E580" s="22">
        <f t="shared" ref="E580:F580" si="176">E576</f>
        <v>10</v>
      </c>
      <c r="F580" s="22">
        <f t="shared" si="176"/>
        <v>20</v>
      </c>
      <c r="G580" s="22">
        <f t="shared" si="175"/>
        <v>0.15</v>
      </c>
      <c r="H580" s="22">
        <f>G580*$O$1030</f>
        <v>0</v>
      </c>
    </row>
    <row r="581" spans="1:8" ht="15.75" x14ac:dyDescent="0.45">
      <c r="A581" s="1"/>
      <c r="B581" s="1"/>
      <c r="C581" s="1"/>
      <c r="D581" s="44"/>
      <c r="E581" s="44"/>
      <c r="F581" s="44"/>
      <c r="G581" s="45"/>
      <c r="H581" s="44"/>
    </row>
    <row r="582" spans="1:8" ht="31.5" x14ac:dyDescent="0.45">
      <c r="A582" s="10" t="s">
        <v>190</v>
      </c>
      <c r="B582" s="10" t="s">
        <v>22</v>
      </c>
      <c r="C582" s="12" t="s">
        <v>11</v>
      </c>
      <c r="D582" s="13">
        <v>3</v>
      </c>
      <c r="E582" s="13">
        <v>10</v>
      </c>
      <c r="F582" s="13">
        <v>120</v>
      </c>
      <c r="G582" s="16">
        <f>(D582+D583+D584)*E582/F582</f>
        <v>0.33333333333333331</v>
      </c>
      <c r="H582" s="17">
        <f>G582*$K$3</f>
        <v>4.833333333333333</v>
      </c>
    </row>
    <row r="583" spans="1:8" ht="31.5" x14ac:dyDescent="0.45">
      <c r="A583" s="18"/>
      <c r="B583" s="18"/>
      <c r="C583" s="12" t="s">
        <v>191</v>
      </c>
      <c r="D583" s="13">
        <v>1</v>
      </c>
      <c r="E583" s="13"/>
      <c r="F583" s="13"/>
      <c r="G583" s="36"/>
      <c r="H583" s="37"/>
    </row>
    <row r="584" spans="1:8" ht="15.75" x14ac:dyDescent="0.45">
      <c r="A584" s="18"/>
      <c r="B584" s="18"/>
      <c r="C584" s="12" t="s">
        <v>139</v>
      </c>
      <c r="D584" s="13"/>
      <c r="E584" s="13"/>
      <c r="F584" s="13"/>
      <c r="G584" s="31"/>
      <c r="H584" s="32"/>
    </row>
    <row r="585" spans="1:8" ht="78.75" x14ac:dyDescent="0.45">
      <c r="A585" s="18"/>
      <c r="B585" s="18"/>
      <c r="C585" s="22" t="s">
        <v>13</v>
      </c>
      <c r="D585" s="22">
        <v>1</v>
      </c>
      <c r="E585" s="22">
        <f t="shared" ref="E585:F585" si="177">E582</f>
        <v>10</v>
      </c>
      <c r="F585" s="22">
        <f t="shared" si="177"/>
        <v>120</v>
      </c>
      <c r="G585" s="22">
        <f t="shared" ref="G585:G586" si="178">D585*E585/F585</f>
        <v>8.3333333333333329E-2</v>
      </c>
      <c r="H585" s="22">
        <f>G585*$O$1024</f>
        <v>0</v>
      </c>
    </row>
    <row r="586" spans="1:8" ht="31.5" x14ac:dyDescent="0.45">
      <c r="A586" s="26"/>
      <c r="B586" s="26"/>
      <c r="C586" s="22" t="s">
        <v>43</v>
      </c>
      <c r="D586" s="22">
        <v>1</v>
      </c>
      <c r="E586" s="22">
        <f t="shared" ref="E586:F586" si="179">E582</f>
        <v>10</v>
      </c>
      <c r="F586" s="22">
        <f t="shared" si="179"/>
        <v>120</v>
      </c>
      <c r="G586" s="22">
        <f t="shared" si="178"/>
        <v>8.3333333333333329E-2</v>
      </c>
      <c r="H586" s="22">
        <f>G586*$O$1030</f>
        <v>0</v>
      </c>
    </row>
    <row r="587" spans="1:8" ht="15.75" x14ac:dyDescent="0.45">
      <c r="A587" s="1"/>
      <c r="B587" s="1"/>
      <c r="C587" s="1"/>
      <c r="D587" s="44"/>
      <c r="E587" s="44"/>
      <c r="F587" s="44"/>
      <c r="G587" s="45"/>
      <c r="H587" s="44"/>
    </row>
    <row r="588" spans="1:8" ht="31.5" x14ac:dyDescent="0.45">
      <c r="A588" s="10" t="s">
        <v>192</v>
      </c>
      <c r="B588" s="10" t="s">
        <v>176</v>
      </c>
      <c r="C588" s="12" t="s">
        <v>11</v>
      </c>
      <c r="D588" s="13">
        <v>3</v>
      </c>
      <c r="E588" s="13">
        <v>10</v>
      </c>
      <c r="F588" s="83">
        <v>5</v>
      </c>
      <c r="G588" s="16">
        <f>(D588+D589+D590)*E588/F588</f>
        <v>10</v>
      </c>
      <c r="H588" s="17">
        <f>G588*$K$3</f>
        <v>145</v>
      </c>
    </row>
    <row r="589" spans="1:8" ht="31.5" x14ac:dyDescent="0.45">
      <c r="A589" s="18"/>
      <c r="B589" s="18"/>
      <c r="C589" s="12" t="s">
        <v>191</v>
      </c>
      <c r="D589" s="13">
        <v>1</v>
      </c>
      <c r="E589" s="13"/>
      <c r="F589" s="13"/>
      <c r="G589" s="36"/>
      <c r="H589" s="37"/>
    </row>
    <row r="590" spans="1:8" ht="15.75" x14ac:dyDescent="0.45">
      <c r="A590" s="18"/>
      <c r="B590" s="18"/>
      <c r="C590" s="12" t="s">
        <v>139</v>
      </c>
      <c r="D590" s="13">
        <v>1</v>
      </c>
      <c r="E590" s="13"/>
      <c r="F590" s="13"/>
      <c r="G590" s="31"/>
      <c r="H590" s="32"/>
    </row>
    <row r="591" spans="1:8" ht="31.5" x14ac:dyDescent="0.45">
      <c r="A591" s="18"/>
      <c r="B591" s="18"/>
      <c r="C591" s="22" t="s">
        <v>172</v>
      </c>
      <c r="D591" s="22">
        <v>0.5</v>
      </c>
      <c r="E591" s="22">
        <f t="shared" ref="E591:F591" si="180">E588</f>
        <v>10</v>
      </c>
      <c r="F591" s="22">
        <f t="shared" si="180"/>
        <v>5</v>
      </c>
      <c r="G591" s="22">
        <f t="shared" ref="G591:G592" si="181">D591*E591/F591</f>
        <v>1</v>
      </c>
      <c r="H591" s="22">
        <f>G591*$O$1040</f>
        <v>0</v>
      </c>
    </row>
    <row r="592" spans="1:8" ht="31.5" x14ac:dyDescent="0.45">
      <c r="A592" s="26"/>
      <c r="B592" s="26"/>
      <c r="C592" s="22" t="s">
        <v>43</v>
      </c>
      <c r="D592" s="22">
        <v>0.2</v>
      </c>
      <c r="E592" s="22">
        <f t="shared" ref="E592:F592" si="182">E588</f>
        <v>10</v>
      </c>
      <c r="F592" s="22">
        <f t="shared" si="182"/>
        <v>5</v>
      </c>
      <c r="G592" s="22">
        <f t="shared" si="181"/>
        <v>0.4</v>
      </c>
      <c r="H592" s="22">
        <f>G592*$O$1030</f>
        <v>0</v>
      </c>
    </row>
    <row r="593" spans="1:8" ht="15.75" x14ac:dyDescent="0.45">
      <c r="A593" s="1"/>
      <c r="B593" s="1"/>
      <c r="C593" s="1"/>
      <c r="D593" s="44"/>
      <c r="E593" s="44"/>
      <c r="F593" s="44"/>
      <c r="G593" s="45"/>
      <c r="H593" s="44"/>
    </row>
    <row r="594" spans="1:8" ht="31.5" x14ac:dyDescent="0.45">
      <c r="A594" s="10" t="s">
        <v>193</v>
      </c>
      <c r="B594" s="10" t="s">
        <v>153</v>
      </c>
      <c r="C594" s="12" t="s">
        <v>11</v>
      </c>
      <c r="D594" s="13">
        <v>3</v>
      </c>
      <c r="E594" s="13">
        <v>10</v>
      </c>
      <c r="F594" s="13">
        <v>15</v>
      </c>
      <c r="G594" s="16">
        <f>(D594+D595+D596)*E594/F594</f>
        <v>2.6666666666666665</v>
      </c>
      <c r="H594" s="17">
        <f>G594*$K$3</f>
        <v>38.666666666666664</v>
      </c>
    </row>
    <row r="595" spans="1:8" ht="31.5" x14ac:dyDescent="0.45">
      <c r="A595" s="18"/>
      <c r="B595" s="18"/>
      <c r="C595" s="12" t="s">
        <v>191</v>
      </c>
      <c r="D595" s="13"/>
      <c r="E595" s="13"/>
      <c r="F595" s="13"/>
      <c r="G595" s="36"/>
      <c r="H595" s="37"/>
    </row>
    <row r="596" spans="1:8" ht="15.75" x14ac:dyDescent="0.45">
      <c r="A596" s="18"/>
      <c r="B596" s="18"/>
      <c r="C596" s="12" t="s">
        <v>139</v>
      </c>
      <c r="D596" s="13">
        <v>1</v>
      </c>
      <c r="E596" s="13"/>
      <c r="F596" s="13"/>
      <c r="G596" s="31"/>
      <c r="H596" s="32"/>
    </row>
    <row r="597" spans="1:8" ht="31.5" x14ac:dyDescent="0.45">
      <c r="A597" s="18"/>
      <c r="B597" s="18"/>
      <c r="C597" s="22" t="s">
        <v>172</v>
      </c>
      <c r="D597" s="22">
        <v>1</v>
      </c>
      <c r="E597" s="22">
        <f t="shared" ref="E597:F597" si="183">E594</f>
        <v>10</v>
      </c>
      <c r="F597" s="22">
        <f t="shared" si="183"/>
        <v>15</v>
      </c>
      <c r="G597" s="22">
        <f t="shared" ref="G597:G598" si="184">D597*E597/F597</f>
        <v>0.66666666666666663</v>
      </c>
      <c r="H597" s="22">
        <f>G597*$O$1040</f>
        <v>0</v>
      </c>
    </row>
    <row r="598" spans="1:8" ht="31.5" x14ac:dyDescent="0.45">
      <c r="A598" s="26"/>
      <c r="B598" s="26"/>
      <c r="C598" s="22" t="s">
        <v>43</v>
      </c>
      <c r="D598" s="22">
        <v>0.5</v>
      </c>
      <c r="E598" s="22">
        <f t="shared" ref="E598:F598" si="185">E594</f>
        <v>10</v>
      </c>
      <c r="F598" s="22">
        <f t="shared" si="185"/>
        <v>15</v>
      </c>
      <c r="G598" s="22">
        <f t="shared" si="184"/>
        <v>0.33333333333333331</v>
      </c>
      <c r="H598" s="22">
        <f>G598*$O$1030</f>
        <v>0</v>
      </c>
    </row>
    <row r="599" spans="1:8" ht="15.75" x14ac:dyDescent="0.45">
      <c r="A599" s="1"/>
      <c r="B599" s="1"/>
      <c r="C599" s="1"/>
      <c r="D599" s="44"/>
      <c r="E599" s="44"/>
      <c r="F599" s="44"/>
      <c r="G599" s="45"/>
      <c r="H599" s="44"/>
    </row>
    <row r="600" spans="1:8" ht="31.5" x14ac:dyDescent="0.45">
      <c r="A600" s="10" t="s">
        <v>194</v>
      </c>
      <c r="B600" s="10" t="s">
        <v>153</v>
      </c>
      <c r="C600" s="12" t="s">
        <v>11</v>
      </c>
      <c r="D600" s="13">
        <v>3</v>
      </c>
      <c r="E600" s="13">
        <v>10</v>
      </c>
      <c r="F600" s="13">
        <v>15</v>
      </c>
      <c r="G600" s="16">
        <f>(D600+D601+D602)*E600/F600</f>
        <v>2.6666666666666665</v>
      </c>
      <c r="H600" s="17">
        <f>G600*$K$3</f>
        <v>38.666666666666664</v>
      </c>
    </row>
    <row r="601" spans="1:8" ht="31.5" x14ac:dyDescent="0.45">
      <c r="A601" s="18"/>
      <c r="B601" s="18"/>
      <c r="C601" s="12" t="s">
        <v>191</v>
      </c>
      <c r="D601" s="13"/>
      <c r="E601" s="13"/>
      <c r="F601" s="13"/>
      <c r="G601" s="36"/>
      <c r="H601" s="37"/>
    </row>
    <row r="602" spans="1:8" ht="15.75" x14ac:dyDescent="0.45">
      <c r="A602" s="18"/>
      <c r="B602" s="18"/>
      <c r="C602" s="12" t="s">
        <v>139</v>
      </c>
      <c r="D602" s="13">
        <v>1</v>
      </c>
      <c r="E602" s="13"/>
      <c r="F602" s="13"/>
      <c r="G602" s="31"/>
      <c r="H602" s="32"/>
    </row>
    <row r="603" spans="1:8" ht="31.5" x14ac:dyDescent="0.45">
      <c r="A603" s="18"/>
      <c r="B603" s="18"/>
      <c r="C603" s="22" t="s">
        <v>172</v>
      </c>
      <c r="D603" s="22">
        <v>0.5</v>
      </c>
      <c r="E603" s="22">
        <f t="shared" ref="E603:F603" si="186">E600</f>
        <v>10</v>
      </c>
      <c r="F603" s="22">
        <f t="shared" si="186"/>
        <v>15</v>
      </c>
      <c r="G603" s="22">
        <f t="shared" ref="G603:G604" si="187">D603*E603/F603</f>
        <v>0.33333333333333331</v>
      </c>
      <c r="H603" s="22">
        <f>G603*$O$1040</f>
        <v>0</v>
      </c>
    </row>
    <row r="604" spans="1:8" ht="31.5" x14ac:dyDescent="0.45">
      <c r="A604" s="26"/>
      <c r="B604" s="26"/>
      <c r="C604" s="22" t="s">
        <v>43</v>
      </c>
      <c r="D604" s="22">
        <v>0</v>
      </c>
      <c r="E604" s="22">
        <f t="shared" ref="E604:F604" si="188">E600</f>
        <v>10</v>
      </c>
      <c r="F604" s="22">
        <f t="shared" si="188"/>
        <v>15</v>
      </c>
      <c r="G604" s="22">
        <f t="shared" si="187"/>
        <v>0</v>
      </c>
      <c r="H604" s="22">
        <f>G604*$O$1030</f>
        <v>0</v>
      </c>
    </row>
    <row r="605" spans="1:8" ht="15.75" x14ac:dyDescent="0.45">
      <c r="A605" s="1"/>
      <c r="B605" s="1"/>
      <c r="C605" s="1"/>
      <c r="D605" s="44"/>
      <c r="E605" s="44"/>
      <c r="F605" s="44"/>
      <c r="G605" s="45"/>
      <c r="H605" s="44"/>
    </row>
    <row r="606" spans="1:8" ht="31.5" x14ac:dyDescent="0.45">
      <c r="A606" s="10" t="s">
        <v>195</v>
      </c>
      <c r="B606" s="10" t="s">
        <v>153</v>
      </c>
      <c r="C606" s="12" t="s">
        <v>11</v>
      </c>
      <c r="D606" s="13">
        <v>3</v>
      </c>
      <c r="E606" s="13">
        <v>10</v>
      </c>
      <c r="F606" s="13">
        <v>30</v>
      </c>
      <c r="G606" s="16">
        <f>(D606+D607+D608)*E606/F606</f>
        <v>1.3333333333333333</v>
      </c>
      <c r="H606" s="17">
        <f>G606*$K$3</f>
        <v>19.333333333333332</v>
      </c>
    </row>
    <row r="607" spans="1:8" ht="31.5" x14ac:dyDescent="0.45">
      <c r="A607" s="18"/>
      <c r="B607" s="18"/>
      <c r="C607" s="12" t="s">
        <v>191</v>
      </c>
      <c r="D607" s="13"/>
      <c r="E607" s="13"/>
      <c r="F607" s="13"/>
      <c r="G607" s="36"/>
      <c r="H607" s="37"/>
    </row>
    <row r="608" spans="1:8" ht="15.75" x14ac:dyDescent="0.45">
      <c r="A608" s="18"/>
      <c r="B608" s="18"/>
      <c r="C608" s="12" t="s">
        <v>139</v>
      </c>
      <c r="D608" s="13">
        <v>1</v>
      </c>
      <c r="E608" s="13"/>
      <c r="F608" s="13"/>
      <c r="G608" s="31"/>
      <c r="H608" s="32"/>
    </row>
    <row r="609" spans="1:8" ht="31.5" x14ac:dyDescent="0.45">
      <c r="A609" s="18"/>
      <c r="B609" s="18"/>
      <c r="C609" s="22" t="s">
        <v>172</v>
      </c>
      <c r="D609" s="22">
        <v>0</v>
      </c>
      <c r="E609" s="22">
        <f t="shared" ref="E609:F609" si="189">E606</f>
        <v>10</v>
      </c>
      <c r="F609" s="22">
        <f t="shared" si="189"/>
        <v>30</v>
      </c>
      <c r="G609" s="22">
        <f t="shared" ref="G609:G610" si="190">D609*E609/F609</f>
        <v>0</v>
      </c>
      <c r="H609" s="22">
        <f>G609*$O$1040</f>
        <v>0</v>
      </c>
    </row>
    <row r="610" spans="1:8" ht="31.5" x14ac:dyDescent="0.45">
      <c r="A610" s="26"/>
      <c r="B610" s="26"/>
      <c r="C610" s="22" t="s">
        <v>43</v>
      </c>
      <c r="D610" s="22">
        <v>0</v>
      </c>
      <c r="E610" s="22">
        <f t="shared" ref="E610:F610" si="191">E606</f>
        <v>10</v>
      </c>
      <c r="F610" s="22">
        <f t="shared" si="191"/>
        <v>30</v>
      </c>
      <c r="G610" s="22">
        <f t="shared" si="190"/>
        <v>0</v>
      </c>
      <c r="H610" s="22">
        <f>G610*$O$1030</f>
        <v>0</v>
      </c>
    </row>
    <row r="611" spans="1:8" ht="15.75" x14ac:dyDescent="0.45">
      <c r="A611" s="1"/>
      <c r="B611" s="1"/>
      <c r="C611" s="1"/>
      <c r="D611" s="44"/>
      <c r="E611" s="44"/>
      <c r="F611" s="44"/>
      <c r="G611" s="45"/>
      <c r="H611" s="44"/>
    </row>
    <row r="612" spans="1:8" ht="31.5" x14ac:dyDescent="0.45">
      <c r="A612" s="10" t="s">
        <v>196</v>
      </c>
      <c r="B612" s="10" t="s">
        <v>155</v>
      </c>
      <c r="C612" s="12" t="s">
        <v>11</v>
      </c>
      <c r="D612" s="13">
        <v>3</v>
      </c>
      <c r="E612" s="13">
        <v>10</v>
      </c>
      <c r="F612" s="13">
        <v>15</v>
      </c>
      <c r="G612" s="16">
        <f>(D612+D613+D614)*E612/F612</f>
        <v>2.6666666666666665</v>
      </c>
      <c r="H612" s="17">
        <f>G612*$K$3</f>
        <v>38.666666666666664</v>
      </c>
    </row>
    <row r="613" spans="1:8" ht="31.5" x14ac:dyDescent="0.45">
      <c r="A613" s="18"/>
      <c r="B613" s="18"/>
      <c r="C613" s="12" t="s">
        <v>191</v>
      </c>
      <c r="D613" s="13"/>
      <c r="E613" s="13"/>
      <c r="F613" s="13"/>
      <c r="G613" s="36"/>
      <c r="H613" s="37"/>
    </row>
    <row r="614" spans="1:8" ht="15.75" x14ac:dyDescent="0.45">
      <c r="A614" s="18"/>
      <c r="B614" s="18"/>
      <c r="C614" s="12" t="s">
        <v>139</v>
      </c>
      <c r="D614" s="13">
        <v>1</v>
      </c>
      <c r="E614" s="13"/>
      <c r="F614" s="13"/>
      <c r="G614" s="31"/>
      <c r="H614" s="32"/>
    </row>
    <row r="615" spans="1:8" ht="31.5" x14ac:dyDescent="0.45">
      <c r="A615" s="18"/>
      <c r="B615" s="18"/>
      <c r="C615" s="22" t="s">
        <v>172</v>
      </c>
      <c r="D615" s="22">
        <v>0.2</v>
      </c>
      <c r="E615" s="22">
        <f t="shared" ref="E615:F615" si="192">E612</f>
        <v>10</v>
      </c>
      <c r="F615" s="22">
        <f t="shared" si="192"/>
        <v>15</v>
      </c>
      <c r="G615" s="22">
        <f t="shared" ref="G615:G616" si="193">D615*E615/F615</f>
        <v>0.13333333333333333</v>
      </c>
      <c r="H615" s="22">
        <f>G615*$O$1040</f>
        <v>0</v>
      </c>
    </row>
    <row r="616" spans="1:8" ht="31.5" x14ac:dyDescent="0.45">
      <c r="A616" s="26"/>
      <c r="B616" s="26"/>
      <c r="C616" s="22" t="s">
        <v>43</v>
      </c>
      <c r="D616" s="22">
        <v>0.5</v>
      </c>
      <c r="E616" s="22">
        <f t="shared" ref="E616:F616" si="194">E612</f>
        <v>10</v>
      </c>
      <c r="F616" s="22">
        <f t="shared" si="194"/>
        <v>15</v>
      </c>
      <c r="G616" s="22">
        <f t="shared" si="193"/>
        <v>0.33333333333333331</v>
      </c>
      <c r="H616" s="22">
        <f>G616*$O$1030</f>
        <v>0</v>
      </c>
    </row>
    <row r="617" spans="1:8" ht="15.75" x14ac:dyDescent="0.45">
      <c r="A617" s="1"/>
      <c r="B617" s="1"/>
      <c r="C617" s="1"/>
      <c r="D617" s="44"/>
      <c r="E617" s="44"/>
      <c r="F617" s="44"/>
      <c r="G617" s="45"/>
      <c r="H617" s="44"/>
    </row>
    <row r="618" spans="1:8" ht="31.5" x14ac:dyDescent="0.45">
      <c r="A618" s="10" t="s">
        <v>197</v>
      </c>
      <c r="B618" s="10" t="s">
        <v>176</v>
      </c>
      <c r="C618" s="12" t="s">
        <v>11</v>
      </c>
      <c r="D618" s="13">
        <v>3</v>
      </c>
      <c r="E618" s="13">
        <v>10</v>
      </c>
      <c r="F618" s="13">
        <v>8</v>
      </c>
      <c r="G618" s="16">
        <f>(D618+D619+D620)*E618/F618</f>
        <v>6.25</v>
      </c>
      <c r="H618" s="17">
        <f>G618*$K$3</f>
        <v>90.625</v>
      </c>
    </row>
    <row r="619" spans="1:8" ht="31.5" x14ac:dyDescent="0.45">
      <c r="A619" s="18"/>
      <c r="B619" s="18"/>
      <c r="C619" s="12" t="s">
        <v>191</v>
      </c>
      <c r="D619" s="13">
        <v>1</v>
      </c>
      <c r="E619" s="13"/>
      <c r="F619" s="13"/>
      <c r="G619" s="36"/>
      <c r="H619" s="37"/>
    </row>
    <row r="620" spans="1:8" ht="15.75" x14ac:dyDescent="0.45">
      <c r="A620" s="18"/>
      <c r="B620" s="18"/>
      <c r="C620" s="12" t="s">
        <v>139</v>
      </c>
      <c r="D620" s="13">
        <v>1</v>
      </c>
      <c r="E620" s="13"/>
      <c r="F620" s="13"/>
      <c r="G620" s="31"/>
      <c r="H620" s="32"/>
    </row>
    <row r="621" spans="1:8" ht="31.5" x14ac:dyDescent="0.45">
      <c r="A621" s="18"/>
      <c r="B621" s="18"/>
      <c r="C621" s="22" t="s">
        <v>172</v>
      </c>
      <c r="D621" s="22">
        <v>1</v>
      </c>
      <c r="E621" s="22">
        <f t="shared" ref="E621:F621" si="195">E618</f>
        <v>10</v>
      </c>
      <c r="F621" s="22">
        <f t="shared" si="195"/>
        <v>8</v>
      </c>
      <c r="G621" s="22">
        <f t="shared" ref="G621:G622" si="196">D621*E621/F621</f>
        <v>1.25</v>
      </c>
      <c r="H621" s="22">
        <f>G621*$O$1040</f>
        <v>0</v>
      </c>
    </row>
    <row r="622" spans="1:8" ht="31.5" x14ac:dyDescent="0.45">
      <c r="A622" s="26"/>
      <c r="B622" s="26"/>
      <c r="C622" s="22" t="s">
        <v>43</v>
      </c>
      <c r="D622" s="22">
        <v>0</v>
      </c>
      <c r="E622" s="22">
        <f t="shared" ref="E622:F622" si="197">E618</f>
        <v>10</v>
      </c>
      <c r="F622" s="22">
        <f t="shared" si="197"/>
        <v>8</v>
      </c>
      <c r="G622" s="22">
        <f t="shared" si="196"/>
        <v>0</v>
      </c>
      <c r="H622" s="22">
        <f>G622*$O$1030</f>
        <v>0</v>
      </c>
    </row>
    <row r="623" spans="1:8" ht="15.75" x14ac:dyDescent="0.45">
      <c r="A623" s="1"/>
      <c r="B623" s="1"/>
      <c r="C623" s="1"/>
      <c r="D623" s="44"/>
      <c r="E623" s="44"/>
      <c r="F623" s="44"/>
      <c r="G623" s="45"/>
      <c r="H623" s="44"/>
    </row>
    <row r="624" spans="1:8" ht="31.5" x14ac:dyDescent="0.45">
      <c r="A624" s="10" t="s">
        <v>198</v>
      </c>
      <c r="B624" s="10" t="s">
        <v>199</v>
      </c>
      <c r="C624" s="12" t="s">
        <v>11</v>
      </c>
      <c r="D624" s="13">
        <v>4</v>
      </c>
      <c r="E624" s="13">
        <v>10</v>
      </c>
      <c r="F624" s="13">
        <v>20</v>
      </c>
      <c r="G624" s="16">
        <f>(D624+D625+D626)*E624/F624</f>
        <v>2.5</v>
      </c>
      <c r="H624" s="17">
        <f>G624*$K$3</f>
        <v>36.25</v>
      </c>
    </row>
    <row r="625" spans="1:8" ht="31.5" x14ac:dyDescent="0.45">
      <c r="A625" s="18"/>
      <c r="B625" s="18"/>
      <c r="C625" s="12" t="s">
        <v>10</v>
      </c>
      <c r="D625" s="13">
        <v>1</v>
      </c>
      <c r="E625" s="13"/>
      <c r="F625" s="13"/>
      <c r="G625" s="36"/>
      <c r="H625" s="37"/>
    </row>
    <row r="626" spans="1:8" ht="15.75" x14ac:dyDescent="0.45">
      <c r="A626" s="18"/>
      <c r="B626" s="18"/>
      <c r="C626" s="12" t="s">
        <v>139</v>
      </c>
      <c r="D626" s="13">
        <v>0</v>
      </c>
      <c r="E626" s="13"/>
      <c r="F626" s="13"/>
      <c r="G626" s="31"/>
      <c r="H626" s="32"/>
    </row>
    <row r="627" spans="1:8" ht="31.5" x14ac:dyDescent="0.45">
      <c r="A627" s="18"/>
      <c r="B627" s="18"/>
      <c r="C627" s="22" t="s">
        <v>200</v>
      </c>
      <c r="D627" s="22">
        <v>1</v>
      </c>
      <c r="E627" s="22">
        <f>E624</f>
        <v>10</v>
      </c>
      <c r="F627" s="22">
        <f>15*20</f>
        <v>300</v>
      </c>
      <c r="G627" s="22">
        <f t="shared" ref="G627:G628" si="198">D627*E627/F627</f>
        <v>3.3333333333333333E-2</v>
      </c>
      <c r="H627" s="22">
        <f>G627*$O$1040</f>
        <v>0</v>
      </c>
    </row>
    <row r="628" spans="1:8" ht="31.5" x14ac:dyDescent="0.45">
      <c r="A628" s="26"/>
      <c r="B628" s="26"/>
      <c r="C628" s="22" t="s">
        <v>167</v>
      </c>
      <c r="D628" s="22">
        <v>1</v>
      </c>
      <c r="E628" s="22">
        <f>E624</f>
        <v>10</v>
      </c>
      <c r="F628" s="22">
        <f>F627</f>
        <v>300</v>
      </c>
      <c r="G628" s="22">
        <f t="shared" si="198"/>
        <v>3.3333333333333333E-2</v>
      </c>
      <c r="H628" s="22">
        <f>G628*$O$1038</f>
        <v>0</v>
      </c>
    </row>
    <row r="629" spans="1:8" ht="15.75" x14ac:dyDescent="0.45">
      <c r="A629" s="1"/>
      <c r="B629" s="1"/>
      <c r="C629" s="1"/>
      <c r="D629" s="44"/>
      <c r="E629" s="44"/>
      <c r="F629" s="44"/>
      <c r="G629" s="45"/>
      <c r="H629" s="44"/>
    </row>
    <row r="630" spans="1:8" ht="31.5" x14ac:dyDescent="0.45">
      <c r="A630" s="10" t="s">
        <v>201</v>
      </c>
      <c r="B630" s="10" t="s">
        <v>199</v>
      </c>
      <c r="C630" s="12" t="s">
        <v>11</v>
      </c>
      <c r="D630" s="13">
        <v>4</v>
      </c>
      <c r="E630" s="13">
        <v>10</v>
      </c>
      <c r="F630" s="13">
        <v>35</v>
      </c>
      <c r="G630" s="16">
        <f>(D630+D631+D632)*E630/F630</f>
        <v>1.7142857142857142</v>
      </c>
      <c r="H630" s="17">
        <f>G630*$K$3</f>
        <v>24.857142857142854</v>
      </c>
    </row>
    <row r="631" spans="1:8" ht="31.5" x14ac:dyDescent="0.45">
      <c r="A631" s="18"/>
      <c r="B631" s="18"/>
      <c r="C631" s="12" t="s">
        <v>10</v>
      </c>
      <c r="D631" s="13">
        <v>1</v>
      </c>
      <c r="E631" s="13"/>
      <c r="F631" s="13"/>
      <c r="G631" s="36"/>
      <c r="H631" s="37"/>
    </row>
    <row r="632" spans="1:8" ht="15.75" x14ac:dyDescent="0.45">
      <c r="A632" s="18"/>
      <c r="B632" s="18"/>
      <c r="C632" s="12" t="s">
        <v>139</v>
      </c>
      <c r="D632" s="13">
        <v>1</v>
      </c>
      <c r="E632" s="13"/>
      <c r="F632" s="13"/>
      <c r="G632" s="31"/>
      <c r="H632" s="32"/>
    </row>
    <row r="633" spans="1:8" ht="31.5" x14ac:dyDescent="0.45">
      <c r="A633" s="18"/>
      <c r="B633" s="18"/>
      <c r="C633" s="22" t="s">
        <v>202</v>
      </c>
      <c r="D633" s="22">
        <v>1</v>
      </c>
      <c r="E633" s="22">
        <f>E630</f>
        <v>10</v>
      </c>
      <c r="F633" s="22">
        <v>35</v>
      </c>
      <c r="G633" s="22">
        <f t="shared" ref="G633:G634" si="199">D633*E633/F633</f>
        <v>0.2857142857142857</v>
      </c>
      <c r="H633" s="22">
        <f t="shared" ref="H633:H634" si="200">G633*3</f>
        <v>0.8571428571428571</v>
      </c>
    </row>
    <row r="634" spans="1:8" ht="31.5" x14ac:dyDescent="0.45">
      <c r="A634" s="26"/>
      <c r="B634" s="26"/>
      <c r="C634" s="22" t="s">
        <v>203</v>
      </c>
      <c r="D634" s="22">
        <v>1</v>
      </c>
      <c r="E634" s="22">
        <f t="shared" ref="E634:F634" si="201">E630</f>
        <v>10</v>
      </c>
      <c r="F634" s="22">
        <f t="shared" si="201"/>
        <v>35</v>
      </c>
      <c r="G634" s="22">
        <f t="shared" si="199"/>
        <v>0.2857142857142857</v>
      </c>
      <c r="H634" s="22">
        <f t="shared" si="200"/>
        <v>0.8571428571428571</v>
      </c>
    </row>
    <row r="635" spans="1:8" ht="15.75" x14ac:dyDescent="0.45">
      <c r="A635" s="1"/>
      <c r="B635" s="1"/>
      <c r="C635" s="1"/>
      <c r="D635" s="44"/>
      <c r="E635" s="44"/>
      <c r="F635" s="44"/>
      <c r="G635" s="45"/>
      <c r="H635" s="44"/>
    </row>
    <row r="636" spans="1:8" ht="31.5" x14ac:dyDescent="0.45">
      <c r="A636" s="10" t="s">
        <v>204</v>
      </c>
      <c r="B636" s="10" t="s">
        <v>199</v>
      </c>
      <c r="C636" s="12" t="s">
        <v>11</v>
      </c>
      <c r="D636" s="13">
        <v>4</v>
      </c>
      <c r="E636" s="13">
        <v>10</v>
      </c>
      <c r="F636" s="13">
        <v>30</v>
      </c>
      <c r="G636" s="16">
        <f>(D636+D637+D638)*E636/F636</f>
        <v>2</v>
      </c>
      <c r="H636" s="17">
        <f>G636*$K$3</f>
        <v>29</v>
      </c>
    </row>
    <row r="637" spans="1:8" ht="31.5" x14ac:dyDescent="0.45">
      <c r="A637" s="18"/>
      <c r="B637" s="18"/>
      <c r="C637" s="12" t="s">
        <v>10</v>
      </c>
      <c r="D637" s="13">
        <v>1</v>
      </c>
      <c r="E637" s="13"/>
      <c r="F637" s="13"/>
      <c r="G637" s="36"/>
      <c r="H637" s="37"/>
    </row>
    <row r="638" spans="1:8" ht="15.75" x14ac:dyDescent="0.45">
      <c r="A638" s="18"/>
      <c r="B638" s="18"/>
      <c r="C638" s="12" t="s">
        <v>139</v>
      </c>
      <c r="D638" s="13">
        <v>1</v>
      </c>
      <c r="E638" s="13"/>
      <c r="F638" s="13"/>
      <c r="G638" s="31"/>
      <c r="H638" s="32"/>
    </row>
    <row r="639" spans="1:8" ht="31.5" x14ac:dyDescent="0.45">
      <c r="A639" s="18"/>
      <c r="B639" s="18"/>
      <c r="C639" s="22" t="s">
        <v>202</v>
      </c>
      <c r="D639" s="22">
        <v>1</v>
      </c>
      <c r="E639" s="22">
        <f>E636</f>
        <v>10</v>
      </c>
      <c r="F639" s="22">
        <v>35</v>
      </c>
      <c r="G639" s="22">
        <f t="shared" ref="G639:G640" si="202">D639*E639/F639</f>
        <v>0.2857142857142857</v>
      </c>
      <c r="H639" s="22">
        <f t="shared" ref="H639:H640" si="203">G639*3</f>
        <v>0.8571428571428571</v>
      </c>
    </row>
    <row r="640" spans="1:8" ht="31.5" x14ac:dyDescent="0.45">
      <c r="A640" s="26"/>
      <c r="B640" s="26"/>
      <c r="C640" s="22" t="s">
        <v>203</v>
      </c>
      <c r="D640" s="22">
        <v>1</v>
      </c>
      <c r="E640" s="22">
        <f t="shared" ref="E640:F640" si="204">E636</f>
        <v>10</v>
      </c>
      <c r="F640" s="22">
        <f t="shared" si="204"/>
        <v>30</v>
      </c>
      <c r="G640" s="22">
        <f t="shared" si="202"/>
        <v>0.33333333333333331</v>
      </c>
      <c r="H640" s="22">
        <f t="shared" si="203"/>
        <v>1</v>
      </c>
    </row>
    <row r="641" spans="1:8" ht="15.75" x14ac:dyDescent="0.45">
      <c r="A641" s="1"/>
      <c r="B641" s="1"/>
      <c r="C641" s="1"/>
      <c r="D641" s="44"/>
      <c r="E641" s="44"/>
      <c r="F641" s="44"/>
      <c r="G641" s="45"/>
      <c r="H641" s="44"/>
    </row>
    <row r="642" spans="1:8" ht="31.5" x14ac:dyDescent="0.45">
      <c r="A642" s="10" t="s">
        <v>205</v>
      </c>
      <c r="B642" s="10" t="s">
        <v>9</v>
      </c>
      <c r="C642" s="12" t="s">
        <v>10</v>
      </c>
      <c r="D642" s="13">
        <v>1</v>
      </c>
      <c r="E642" s="14">
        <v>10</v>
      </c>
      <c r="F642" s="14">
        <v>30</v>
      </c>
      <c r="G642" s="16">
        <f>(D642+D643)*E642/F642</f>
        <v>1</v>
      </c>
      <c r="H642" s="17">
        <f>G642*$K$3</f>
        <v>14.5</v>
      </c>
    </row>
    <row r="643" spans="1:8" ht="31.5" x14ac:dyDescent="0.45">
      <c r="A643" s="18"/>
      <c r="B643" s="18"/>
      <c r="C643" s="12" t="s">
        <v>11</v>
      </c>
      <c r="D643" s="13">
        <v>2</v>
      </c>
      <c r="E643" s="14"/>
      <c r="F643" s="14"/>
      <c r="G643" s="31"/>
      <c r="H643" s="32"/>
    </row>
    <row r="644" spans="1:8" ht="31.5" x14ac:dyDescent="0.45">
      <c r="A644" s="18"/>
      <c r="B644" s="18"/>
      <c r="C644" s="22" t="s">
        <v>12</v>
      </c>
      <c r="D644" s="22">
        <v>0.2</v>
      </c>
      <c r="E644" s="22">
        <f t="shared" ref="E644:F644" si="205">E642</f>
        <v>10</v>
      </c>
      <c r="F644" s="22">
        <f t="shared" si="205"/>
        <v>30</v>
      </c>
      <c r="G644" s="22">
        <f>D644*E644/F644</f>
        <v>6.6666666666666666E-2</v>
      </c>
      <c r="H644" s="22">
        <f>G644*O$1022</f>
        <v>0</v>
      </c>
    </row>
    <row r="645" spans="1:8" ht="31.5" x14ac:dyDescent="0.45">
      <c r="A645" s="18"/>
      <c r="B645" s="18"/>
      <c r="C645" s="22" t="s">
        <v>206</v>
      </c>
      <c r="D645" s="22">
        <v>0</v>
      </c>
      <c r="E645" s="22"/>
      <c r="F645" s="22"/>
      <c r="G645" s="22">
        <f>D645*E644/F644</f>
        <v>0</v>
      </c>
      <c r="H645" s="22">
        <f>G645*$O$1029</f>
        <v>0</v>
      </c>
    </row>
    <row r="646" spans="1:8" ht="47.25" x14ac:dyDescent="0.45">
      <c r="A646" s="18"/>
      <c r="B646" s="18"/>
      <c r="C646" s="22" t="s">
        <v>207</v>
      </c>
      <c r="D646" s="22">
        <v>1</v>
      </c>
      <c r="E646" s="22"/>
      <c r="F646" s="22"/>
      <c r="G646" s="22">
        <f>D646*E644/F644</f>
        <v>0.33333333333333331</v>
      </c>
      <c r="H646" s="22">
        <f>G646*$O$1047</f>
        <v>0</v>
      </c>
    </row>
    <row r="647" spans="1:8" ht="47.25" x14ac:dyDescent="0.45">
      <c r="A647" s="26"/>
      <c r="B647" s="26"/>
      <c r="C647" s="22" t="s">
        <v>36</v>
      </c>
      <c r="D647" s="22">
        <v>0.2</v>
      </c>
      <c r="E647" s="22"/>
      <c r="F647" s="22"/>
      <c r="G647" s="22">
        <f>D647*E644/F644</f>
        <v>6.6666666666666666E-2</v>
      </c>
      <c r="H647" s="22">
        <f>G647*$O$1029</f>
        <v>0</v>
      </c>
    </row>
    <row r="648" spans="1:8" ht="15.75" x14ac:dyDescent="0.45">
      <c r="A648" s="1"/>
      <c r="B648" s="1"/>
      <c r="C648" s="1"/>
      <c r="D648" s="44"/>
      <c r="E648" s="44"/>
      <c r="F648" s="44"/>
      <c r="G648" s="45"/>
      <c r="H648" s="44"/>
    </row>
    <row r="649" spans="1:8" ht="31.5" x14ac:dyDescent="0.45">
      <c r="A649" s="10" t="s">
        <v>208</v>
      </c>
      <c r="B649" s="10" t="s">
        <v>9</v>
      </c>
      <c r="C649" s="12" t="s">
        <v>10</v>
      </c>
      <c r="D649" s="13">
        <v>1</v>
      </c>
      <c r="E649" s="14">
        <v>10</v>
      </c>
      <c r="F649" s="14">
        <v>90</v>
      </c>
      <c r="G649" s="16">
        <f>(D649+D650)*E649/F649</f>
        <v>0.33333333333333331</v>
      </c>
      <c r="H649" s="17">
        <f>G649*$K$3</f>
        <v>4.833333333333333</v>
      </c>
    </row>
    <row r="650" spans="1:8" ht="31.5" x14ac:dyDescent="0.45">
      <c r="A650" s="18"/>
      <c r="B650" s="18"/>
      <c r="C650" s="12" t="s">
        <v>11</v>
      </c>
      <c r="D650" s="13">
        <v>2</v>
      </c>
      <c r="E650" s="14"/>
      <c r="F650" s="14"/>
      <c r="G650" s="31"/>
      <c r="H650" s="32"/>
    </row>
    <row r="651" spans="1:8" ht="31.5" x14ac:dyDescent="0.45">
      <c r="A651" s="18"/>
      <c r="B651" s="18"/>
      <c r="C651" s="22" t="s">
        <v>12</v>
      </c>
      <c r="D651" s="22">
        <v>0.2</v>
      </c>
      <c r="E651" s="22">
        <f t="shared" ref="E651:F651" si="206">E649</f>
        <v>10</v>
      </c>
      <c r="F651" s="22">
        <f t="shared" si="206"/>
        <v>90</v>
      </c>
      <c r="G651" s="22">
        <f>D651*E651/F651</f>
        <v>2.2222222222222223E-2</v>
      </c>
      <c r="H651" s="22">
        <f>G651*O$1022</f>
        <v>0</v>
      </c>
    </row>
    <row r="652" spans="1:8" ht="31.5" x14ac:dyDescent="0.45">
      <c r="A652" s="18"/>
      <c r="B652" s="18"/>
      <c r="C652" s="22" t="s">
        <v>206</v>
      </c>
      <c r="D652" s="22">
        <v>0</v>
      </c>
      <c r="E652" s="22"/>
      <c r="F652" s="22"/>
      <c r="G652" s="22">
        <f>D652*E651/F651</f>
        <v>0</v>
      </c>
      <c r="H652" s="22">
        <f>G652*$O$1029</f>
        <v>0</v>
      </c>
    </row>
    <row r="653" spans="1:8" ht="47.25" x14ac:dyDescent="0.45">
      <c r="A653" s="18"/>
      <c r="B653" s="18"/>
      <c r="C653" s="22" t="s">
        <v>209</v>
      </c>
      <c r="D653" s="22">
        <v>1</v>
      </c>
      <c r="E653" s="22"/>
      <c r="F653" s="22"/>
      <c r="G653" s="22">
        <f>D653*E651/F651</f>
        <v>0.1111111111111111</v>
      </c>
      <c r="H653" s="22">
        <f>G653*O1050</f>
        <v>0</v>
      </c>
    </row>
    <row r="654" spans="1:8" ht="47.25" x14ac:dyDescent="0.45">
      <c r="A654" s="26"/>
      <c r="B654" s="26"/>
      <c r="C654" s="22" t="s">
        <v>36</v>
      </c>
      <c r="D654" s="22">
        <v>1</v>
      </c>
      <c r="E654" s="22"/>
      <c r="F654" s="22"/>
      <c r="G654" s="22">
        <f>D654*E651/F651</f>
        <v>0.1111111111111111</v>
      </c>
      <c r="H654" s="22">
        <f>G654*$O$1029</f>
        <v>0</v>
      </c>
    </row>
    <row r="655" spans="1:8" ht="15.75" x14ac:dyDescent="0.45">
      <c r="A655" s="1"/>
      <c r="B655" s="1"/>
      <c r="C655" s="1"/>
      <c r="D655" s="44"/>
      <c r="E655" s="44"/>
      <c r="F655" s="44"/>
      <c r="G655" s="45"/>
      <c r="H655" s="44"/>
    </row>
    <row r="656" spans="1:8" ht="31.5" x14ac:dyDescent="0.45">
      <c r="A656" s="10" t="s">
        <v>210</v>
      </c>
      <c r="B656" s="10" t="s">
        <v>22</v>
      </c>
      <c r="C656" s="12" t="s">
        <v>10</v>
      </c>
      <c r="D656" s="13">
        <v>0</v>
      </c>
      <c r="E656" s="14">
        <v>10</v>
      </c>
      <c r="F656" s="14">
        <v>90</v>
      </c>
      <c r="G656" s="16">
        <f>(D656+D657)*E656/F656</f>
        <v>0.22222222222222221</v>
      </c>
      <c r="H656" s="17">
        <f>G656*$K$3</f>
        <v>3.2222222222222219</v>
      </c>
    </row>
    <row r="657" spans="1:8" ht="15.75" x14ac:dyDescent="0.45">
      <c r="A657" s="18"/>
      <c r="B657" s="18"/>
      <c r="C657" s="12" t="s">
        <v>48</v>
      </c>
      <c r="D657" s="13">
        <v>2</v>
      </c>
      <c r="E657" s="14"/>
      <c r="F657" s="14"/>
      <c r="G657" s="31"/>
      <c r="H657" s="32"/>
    </row>
    <row r="658" spans="1:8" ht="31.5" x14ac:dyDescent="0.45">
      <c r="A658" s="18"/>
      <c r="B658" s="18"/>
      <c r="C658" s="22" t="s">
        <v>12</v>
      </c>
      <c r="D658" s="22">
        <v>0</v>
      </c>
      <c r="E658" s="22">
        <f t="shared" ref="E658:F658" si="207">E656</f>
        <v>10</v>
      </c>
      <c r="F658" s="22">
        <f t="shared" si="207"/>
        <v>90</v>
      </c>
      <c r="G658" s="22">
        <f>D658*E658/F658</f>
        <v>0</v>
      </c>
      <c r="H658" s="22">
        <f>G658*O$1022</f>
        <v>0</v>
      </c>
    </row>
    <row r="659" spans="1:8" ht="31.5" x14ac:dyDescent="0.45">
      <c r="A659" s="18"/>
      <c r="B659" s="18"/>
      <c r="C659" s="22" t="s">
        <v>206</v>
      </c>
      <c r="D659" s="22">
        <v>0</v>
      </c>
      <c r="E659" s="22"/>
      <c r="F659" s="22"/>
      <c r="G659" s="22">
        <f>D659*E658/F658</f>
        <v>0</v>
      </c>
      <c r="H659" s="22">
        <f>G659*$O$1029</f>
        <v>0</v>
      </c>
    </row>
    <row r="660" spans="1:8" ht="31.5" x14ac:dyDescent="0.45">
      <c r="A660" s="18"/>
      <c r="B660" s="18"/>
      <c r="C660" s="22" t="s">
        <v>211</v>
      </c>
      <c r="D660" s="22">
        <v>0</v>
      </c>
      <c r="E660" s="22"/>
      <c r="F660" s="22"/>
      <c r="G660" s="22">
        <f>D660*E658/F658</f>
        <v>0</v>
      </c>
      <c r="H660" s="22">
        <f>G660*$O$1048</f>
        <v>0</v>
      </c>
    </row>
    <row r="661" spans="1:8" ht="47.25" x14ac:dyDescent="0.45">
      <c r="A661" s="26"/>
      <c r="B661" s="26"/>
      <c r="C661" s="22" t="s">
        <v>36</v>
      </c>
      <c r="D661" s="22">
        <v>0</v>
      </c>
      <c r="E661" s="22"/>
      <c r="F661" s="22"/>
      <c r="G661" s="22">
        <f>D661*E658/F658</f>
        <v>0</v>
      </c>
      <c r="H661" s="22">
        <f>G661*$O$1029</f>
        <v>0</v>
      </c>
    </row>
    <row r="662" spans="1:8" ht="15.75" x14ac:dyDescent="0.45">
      <c r="A662" s="1"/>
      <c r="B662" s="1"/>
      <c r="C662" s="1"/>
      <c r="D662" s="44"/>
      <c r="E662" s="44"/>
      <c r="F662" s="44"/>
      <c r="G662" s="45"/>
      <c r="H662" s="44"/>
    </row>
    <row r="663" spans="1:8" ht="31.5" x14ac:dyDescent="0.45">
      <c r="A663" s="10" t="s">
        <v>212</v>
      </c>
      <c r="B663" s="10" t="s">
        <v>22</v>
      </c>
      <c r="C663" s="12" t="s">
        <v>11</v>
      </c>
      <c r="D663" s="13">
        <v>2</v>
      </c>
      <c r="E663" s="13">
        <v>10</v>
      </c>
      <c r="F663" s="13">
        <v>15</v>
      </c>
      <c r="G663" s="16">
        <f>(D663+D664+D665)*E663/F663</f>
        <v>2</v>
      </c>
      <c r="H663" s="17">
        <f>G663*$K$3</f>
        <v>29</v>
      </c>
    </row>
    <row r="664" spans="1:8" ht="15.75" x14ac:dyDescent="0.45">
      <c r="A664" s="18"/>
      <c r="B664" s="18"/>
      <c r="C664" s="12" t="s">
        <v>48</v>
      </c>
      <c r="D664" s="13"/>
      <c r="E664" s="13"/>
      <c r="F664" s="13"/>
      <c r="G664" s="36"/>
      <c r="H664" s="37"/>
    </row>
    <row r="665" spans="1:8" ht="15.75" x14ac:dyDescent="0.45">
      <c r="A665" s="18"/>
      <c r="B665" s="18"/>
      <c r="C665" s="12" t="s">
        <v>139</v>
      </c>
      <c r="D665" s="13">
        <v>1</v>
      </c>
      <c r="E665" s="13"/>
      <c r="F665" s="13"/>
      <c r="G665" s="31"/>
      <c r="H665" s="32"/>
    </row>
    <row r="666" spans="1:8" ht="31.5" x14ac:dyDescent="0.45">
      <c r="A666" s="18"/>
      <c r="B666" s="18"/>
      <c r="C666" s="22" t="s">
        <v>172</v>
      </c>
      <c r="D666" s="22">
        <v>0</v>
      </c>
      <c r="E666" s="22">
        <f t="shared" ref="E666:F666" si="208">E663</f>
        <v>10</v>
      </c>
      <c r="F666" s="22">
        <f t="shared" si="208"/>
        <v>15</v>
      </c>
      <c r="G666" s="22">
        <f t="shared" ref="G666:G667" si="209">D666*E666/F666</f>
        <v>0</v>
      </c>
      <c r="H666" s="22">
        <f>G666*$O$1040</f>
        <v>0</v>
      </c>
    </row>
    <row r="667" spans="1:8" ht="31.5" x14ac:dyDescent="0.45">
      <c r="A667" s="26"/>
      <c r="B667" s="26"/>
      <c r="C667" s="22" t="s">
        <v>43</v>
      </c>
      <c r="D667" s="22">
        <v>0.2</v>
      </c>
      <c r="E667" s="22">
        <f t="shared" ref="E667:F667" si="210">E663</f>
        <v>10</v>
      </c>
      <c r="F667" s="22">
        <f t="shared" si="210"/>
        <v>15</v>
      </c>
      <c r="G667" s="22">
        <f t="shared" si="209"/>
        <v>0.13333333333333333</v>
      </c>
      <c r="H667" s="22">
        <f>G667*$O$1030</f>
        <v>0</v>
      </c>
    </row>
    <row r="668" spans="1:8" ht="15.75" x14ac:dyDescent="0.45">
      <c r="A668" s="1"/>
      <c r="B668" s="1"/>
      <c r="C668" s="1"/>
      <c r="D668" s="44"/>
      <c r="E668" s="44"/>
      <c r="F668" s="44"/>
      <c r="G668" s="45"/>
      <c r="H668" s="44"/>
    </row>
    <row r="669" spans="1:8" ht="31.5" x14ac:dyDescent="0.45">
      <c r="A669" s="10" t="s">
        <v>213</v>
      </c>
      <c r="B669" s="10" t="s">
        <v>65</v>
      </c>
      <c r="C669" s="12" t="s">
        <v>11</v>
      </c>
      <c r="D669" s="13">
        <v>1</v>
      </c>
      <c r="E669" s="13">
        <f>E663</f>
        <v>10</v>
      </c>
      <c r="F669" s="13">
        <v>3</v>
      </c>
      <c r="G669" s="16">
        <f>(D669+D670)*E669/F669</f>
        <v>6.666666666666667</v>
      </c>
      <c r="H669" s="17">
        <f>G669*$K$3</f>
        <v>96.666666666666671</v>
      </c>
    </row>
    <row r="670" spans="1:8" ht="15.75" x14ac:dyDescent="0.45">
      <c r="A670" s="26"/>
      <c r="B670" s="26"/>
      <c r="C670" s="12" t="s">
        <v>48</v>
      </c>
      <c r="D670" s="13">
        <v>1</v>
      </c>
      <c r="E670" s="13"/>
      <c r="F670" s="13"/>
      <c r="G670" s="31"/>
      <c r="H670" s="32"/>
    </row>
    <row r="671" spans="1:8" ht="15.75" x14ac:dyDescent="0.45">
      <c r="A671" s="1"/>
      <c r="B671" s="1"/>
      <c r="C671" s="1"/>
      <c r="D671" s="44"/>
      <c r="E671" s="44"/>
      <c r="F671" s="44"/>
      <c r="G671" s="45"/>
      <c r="H671" s="44"/>
    </row>
    <row r="672" spans="1:8" ht="31.5" x14ac:dyDescent="0.45">
      <c r="A672" s="10" t="s">
        <v>214</v>
      </c>
      <c r="B672" s="10" t="s">
        <v>22</v>
      </c>
      <c r="C672" s="12" t="s">
        <v>11</v>
      </c>
      <c r="D672" s="13">
        <v>2</v>
      </c>
      <c r="E672" s="13">
        <v>10</v>
      </c>
      <c r="F672" s="13">
        <v>12</v>
      </c>
      <c r="G672" s="16">
        <f>(D672+D673+D674)*E672/F672</f>
        <v>2.5</v>
      </c>
      <c r="H672" s="17">
        <f>G672*$K$3</f>
        <v>36.25</v>
      </c>
    </row>
    <row r="673" spans="1:8" ht="15.75" x14ac:dyDescent="0.45">
      <c r="A673" s="18"/>
      <c r="B673" s="18"/>
      <c r="C673" s="12" t="s">
        <v>48</v>
      </c>
      <c r="D673" s="13"/>
      <c r="E673" s="13"/>
      <c r="F673" s="13"/>
      <c r="G673" s="36"/>
      <c r="H673" s="37"/>
    </row>
    <row r="674" spans="1:8" ht="15.75" x14ac:dyDescent="0.45">
      <c r="A674" s="18"/>
      <c r="B674" s="18"/>
      <c r="C674" s="12" t="s">
        <v>139</v>
      </c>
      <c r="D674" s="13">
        <v>1</v>
      </c>
      <c r="E674" s="13"/>
      <c r="F674" s="13"/>
      <c r="G674" s="31"/>
      <c r="H674" s="32"/>
    </row>
    <row r="675" spans="1:8" ht="31.5" x14ac:dyDescent="0.45">
      <c r="A675" s="18"/>
      <c r="B675" s="18"/>
      <c r="C675" s="21" t="s">
        <v>172</v>
      </c>
      <c r="D675" s="22">
        <v>0</v>
      </c>
      <c r="E675" s="22">
        <f t="shared" ref="E675:F675" si="211">E672</f>
        <v>10</v>
      </c>
      <c r="F675" s="22">
        <f t="shared" si="211"/>
        <v>12</v>
      </c>
      <c r="G675" s="25">
        <f t="shared" ref="G675:G676" si="212">D675*E675/F675</f>
        <v>0</v>
      </c>
      <c r="H675" s="22">
        <f>G675*$O$1040</f>
        <v>0</v>
      </c>
    </row>
    <row r="676" spans="1:8" ht="31.5" x14ac:dyDescent="0.45">
      <c r="A676" s="26"/>
      <c r="B676" s="26"/>
      <c r="C676" s="21" t="s">
        <v>43</v>
      </c>
      <c r="D676" s="22">
        <v>0.2</v>
      </c>
      <c r="E676" s="22">
        <f t="shared" ref="E676:F676" si="213">E672</f>
        <v>10</v>
      </c>
      <c r="F676" s="22">
        <f t="shared" si="213"/>
        <v>12</v>
      </c>
      <c r="G676" s="25">
        <f t="shared" si="212"/>
        <v>0.16666666666666666</v>
      </c>
      <c r="H676" s="22">
        <f>G676*$O$1030</f>
        <v>0</v>
      </c>
    </row>
    <row r="677" spans="1:8" ht="15.75" x14ac:dyDescent="0.45">
      <c r="A677" s="1"/>
      <c r="B677" s="1"/>
      <c r="C677" s="1"/>
      <c r="D677" s="1"/>
      <c r="E677" s="1"/>
      <c r="F677" s="1"/>
      <c r="G677" s="68"/>
      <c r="H677" s="2"/>
    </row>
    <row r="678" spans="1:8" ht="31.5" x14ac:dyDescent="0.45">
      <c r="A678" s="10" t="s">
        <v>215</v>
      </c>
      <c r="B678" s="10" t="s">
        <v>9</v>
      </c>
      <c r="C678" s="12" t="s">
        <v>11</v>
      </c>
      <c r="D678" s="13">
        <v>8</v>
      </c>
      <c r="E678" s="13">
        <v>10</v>
      </c>
      <c r="F678" s="13">
        <v>250</v>
      </c>
      <c r="G678" s="16">
        <f>(D678+D679+D680)*E678/F678</f>
        <v>0.32</v>
      </c>
      <c r="H678" s="17">
        <f>G678*$K$3</f>
        <v>4.6399999999999997</v>
      </c>
    </row>
    <row r="679" spans="1:8" ht="15.75" x14ac:dyDescent="0.45">
      <c r="A679" s="18"/>
      <c r="B679" s="18"/>
      <c r="C679" s="12" t="s">
        <v>48</v>
      </c>
      <c r="D679" s="13">
        <v>0</v>
      </c>
      <c r="E679" s="13"/>
      <c r="F679" s="13"/>
      <c r="G679" s="36"/>
      <c r="H679" s="37"/>
    </row>
    <row r="680" spans="1:8" ht="15.75" x14ac:dyDescent="0.45">
      <c r="A680" s="18"/>
      <c r="B680" s="18"/>
      <c r="C680" s="12" t="s">
        <v>139</v>
      </c>
      <c r="D680" s="13">
        <v>0</v>
      </c>
      <c r="E680" s="13"/>
      <c r="F680" s="13"/>
      <c r="G680" s="31"/>
      <c r="H680" s="32"/>
    </row>
    <row r="681" spans="1:8" ht="94.5" x14ac:dyDescent="0.45">
      <c r="A681" s="18"/>
      <c r="B681" s="18"/>
      <c r="C681" s="21" t="s">
        <v>216</v>
      </c>
      <c r="D681" s="22">
        <v>1</v>
      </c>
      <c r="E681" s="22">
        <f t="shared" ref="E681:F681" si="214">E678</f>
        <v>10</v>
      </c>
      <c r="F681" s="22">
        <f t="shared" si="214"/>
        <v>250</v>
      </c>
      <c r="G681" s="25">
        <f t="shared" ref="G681:G686" si="215">D681*E681/F681</f>
        <v>0.04</v>
      </c>
      <c r="H681" s="22">
        <f>G681*$O$1030</f>
        <v>0</v>
      </c>
    </row>
    <row r="682" spans="1:8" ht="63" x14ac:dyDescent="0.45">
      <c r="A682" s="18"/>
      <c r="B682" s="18"/>
      <c r="C682" s="21" t="s">
        <v>19</v>
      </c>
      <c r="D682" s="22">
        <v>0</v>
      </c>
      <c r="E682" s="22">
        <f>E678</f>
        <v>10</v>
      </c>
      <c r="F682" s="22">
        <f t="shared" ref="F682:F686" si="216">$F$681</f>
        <v>250</v>
      </c>
      <c r="G682" s="25">
        <f t="shared" si="215"/>
        <v>0</v>
      </c>
      <c r="H682" s="22">
        <f>G682*$O$1050</f>
        <v>0</v>
      </c>
    </row>
    <row r="683" spans="1:8" ht="31.5" x14ac:dyDescent="0.45">
      <c r="A683" s="18"/>
      <c r="B683" s="18"/>
      <c r="C683" s="21" t="s">
        <v>45</v>
      </c>
      <c r="D683" s="22">
        <v>1</v>
      </c>
      <c r="E683" s="22">
        <f>E678</f>
        <v>10</v>
      </c>
      <c r="F683" s="22">
        <f t="shared" si="216"/>
        <v>250</v>
      </c>
      <c r="G683" s="25">
        <f t="shared" si="215"/>
        <v>0.04</v>
      </c>
      <c r="H683" s="22">
        <f>G683*O$1027</f>
        <v>0</v>
      </c>
    </row>
    <row r="684" spans="1:8" ht="31.5" x14ac:dyDescent="0.45">
      <c r="A684" s="18"/>
      <c r="B684" s="18"/>
      <c r="C684" s="21" t="s">
        <v>12</v>
      </c>
      <c r="D684" s="22">
        <v>0.2</v>
      </c>
      <c r="E684" s="22">
        <f>E678</f>
        <v>10</v>
      </c>
      <c r="F684" s="22">
        <f t="shared" si="216"/>
        <v>250</v>
      </c>
      <c r="G684" s="25">
        <f t="shared" si="215"/>
        <v>8.0000000000000002E-3</v>
      </c>
      <c r="H684" s="22">
        <f>G684*O$1022</f>
        <v>0</v>
      </c>
    </row>
    <row r="685" spans="1:8" ht="31.5" x14ac:dyDescent="0.45">
      <c r="A685" s="18"/>
      <c r="B685" s="18"/>
      <c r="C685" s="21" t="s">
        <v>217</v>
      </c>
      <c r="D685" s="22">
        <v>2</v>
      </c>
      <c r="E685" s="22">
        <f>E678</f>
        <v>10</v>
      </c>
      <c r="F685" s="22">
        <f t="shared" si="216"/>
        <v>250</v>
      </c>
      <c r="G685" s="25">
        <f t="shared" si="215"/>
        <v>0.08</v>
      </c>
      <c r="H685" s="22">
        <f>G685*O$1031</f>
        <v>0</v>
      </c>
    </row>
    <row r="686" spans="1:8" ht="47.25" x14ac:dyDescent="0.45">
      <c r="A686" s="26"/>
      <c r="B686" s="26"/>
      <c r="C686" s="21" t="s">
        <v>218</v>
      </c>
      <c r="D686" s="22">
        <v>0</v>
      </c>
      <c r="E686" s="22">
        <f>E678</f>
        <v>10</v>
      </c>
      <c r="F686" s="22">
        <f t="shared" si="216"/>
        <v>250</v>
      </c>
      <c r="G686" s="25">
        <f t="shared" si="215"/>
        <v>0</v>
      </c>
      <c r="H686" s="22">
        <f>G686*$O$1038</f>
        <v>0</v>
      </c>
    </row>
    <row r="687" spans="1:8" ht="15.75" x14ac:dyDescent="0.45">
      <c r="A687" s="1"/>
      <c r="B687" s="1"/>
      <c r="C687" s="1"/>
      <c r="D687" s="1"/>
      <c r="E687" s="1"/>
      <c r="F687" s="1"/>
      <c r="G687" s="68"/>
      <c r="H687" s="2"/>
    </row>
    <row r="688" spans="1:8" ht="31.5" x14ac:dyDescent="0.45">
      <c r="A688" s="10" t="s">
        <v>219</v>
      </c>
      <c r="B688" s="10" t="s">
        <v>9</v>
      </c>
      <c r="C688" s="12" t="s">
        <v>11</v>
      </c>
      <c r="D688" s="13">
        <v>3</v>
      </c>
      <c r="E688" s="13">
        <v>10</v>
      </c>
      <c r="F688" s="13">
        <v>500</v>
      </c>
      <c r="G688" s="16">
        <f>(D688+D689+D690)*E688/F688</f>
        <v>0.08</v>
      </c>
      <c r="H688" s="17">
        <f>G688*$K$3</f>
        <v>1.1599999999999999</v>
      </c>
    </row>
    <row r="689" spans="1:8" ht="15.75" x14ac:dyDescent="0.45">
      <c r="A689" s="18"/>
      <c r="B689" s="18"/>
      <c r="C689" s="12" t="s">
        <v>48</v>
      </c>
      <c r="D689" s="13">
        <v>1</v>
      </c>
      <c r="E689" s="13"/>
      <c r="F689" s="13"/>
      <c r="G689" s="36"/>
      <c r="H689" s="37"/>
    </row>
    <row r="690" spans="1:8" ht="15.75" x14ac:dyDescent="0.45">
      <c r="A690" s="18"/>
      <c r="B690" s="18"/>
      <c r="C690" s="12" t="s">
        <v>139</v>
      </c>
      <c r="D690" s="13">
        <v>0</v>
      </c>
      <c r="E690" s="13"/>
      <c r="F690" s="13"/>
      <c r="G690" s="31"/>
      <c r="H690" s="32"/>
    </row>
    <row r="691" spans="1:8" ht="15.75" x14ac:dyDescent="0.45">
      <c r="A691" s="18"/>
      <c r="B691" s="18"/>
      <c r="C691" s="12" t="s">
        <v>220</v>
      </c>
      <c r="D691" s="13">
        <v>1</v>
      </c>
      <c r="E691" s="13">
        <v>8</v>
      </c>
      <c r="F691" s="13">
        <f>+F688</f>
        <v>500</v>
      </c>
      <c r="G691" s="16">
        <f>D691*E691/F691</f>
        <v>1.6E-2</v>
      </c>
      <c r="H691" s="32">
        <f>G691*$O$1054</f>
        <v>0</v>
      </c>
    </row>
    <row r="692" spans="1:8" ht="94.5" x14ac:dyDescent="0.45">
      <c r="A692" s="18"/>
      <c r="B692" s="18"/>
      <c r="C692" s="21" t="s">
        <v>216</v>
      </c>
      <c r="D692" s="22">
        <v>1</v>
      </c>
      <c r="E692" s="22">
        <f t="shared" ref="E692:F692" si="217">E688</f>
        <v>10</v>
      </c>
      <c r="F692" s="22">
        <f t="shared" si="217"/>
        <v>500</v>
      </c>
      <c r="G692" s="25">
        <f t="shared" ref="G692:G697" si="218">D692*E692/F692</f>
        <v>0.02</v>
      </c>
      <c r="H692" s="22">
        <f>G692*$O$1030</f>
        <v>0</v>
      </c>
    </row>
    <row r="693" spans="1:8" ht="63" x14ac:dyDescent="0.45">
      <c r="A693" s="18"/>
      <c r="B693" s="18"/>
      <c r="C693" s="21" t="s">
        <v>19</v>
      </c>
      <c r="D693" s="22">
        <v>0.5</v>
      </c>
      <c r="E693" s="22">
        <f t="shared" ref="E693:F693" si="219">E688</f>
        <v>10</v>
      </c>
      <c r="F693" s="22">
        <f t="shared" si="219"/>
        <v>500</v>
      </c>
      <c r="G693" s="25">
        <f t="shared" si="218"/>
        <v>0.01</v>
      </c>
      <c r="H693" s="22">
        <f>G693*$O$1050</f>
        <v>0</v>
      </c>
    </row>
    <row r="694" spans="1:8" ht="15.75" x14ac:dyDescent="0.45">
      <c r="A694" s="18"/>
      <c r="B694" s="18"/>
      <c r="C694" s="21" t="s">
        <v>161</v>
      </c>
      <c r="D694" s="22">
        <v>1</v>
      </c>
      <c r="E694" s="22">
        <f t="shared" ref="E694:F694" si="220">+E693</f>
        <v>10</v>
      </c>
      <c r="F694" s="22">
        <f t="shared" si="220"/>
        <v>500</v>
      </c>
      <c r="G694" s="25">
        <f t="shared" si="218"/>
        <v>0.02</v>
      </c>
      <c r="H694" s="22">
        <f>G694*$O$1055</f>
        <v>0</v>
      </c>
    </row>
    <row r="695" spans="1:8" ht="31.5" x14ac:dyDescent="0.45">
      <c r="A695" s="18"/>
      <c r="B695" s="18"/>
      <c r="C695" s="21" t="s">
        <v>45</v>
      </c>
      <c r="D695" s="22">
        <v>1</v>
      </c>
      <c r="E695" s="22">
        <f t="shared" ref="E695:F695" si="221">E688</f>
        <v>10</v>
      </c>
      <c r="F695" s="22">
        <f t="shared" si="221"/>
        <v>500</v>
      </c>
      <c r="G695" s="25">
        <f t="shared" si="218"/>
        <v>0.02</v>
      </c>
      <c r="H695" s="22">
        <f>G695*O$1027</f>
        <v>0</v>
      </c>
    </row>
    <row r="696" spans="1:8" ht="31.5" x14ac:dyDescent="0.45">
      <c r="A696" s="18"/>
      <c r="B696" s="18"/>
      <c r="C696" s="21" t="s">
        <v>12</v>
      </c>
      <c r="D696" s="22">
        <v>1</v>
      </c>
      <c r="E696" s="22">
        <f t="shared" ref="E696:F696" si="222">E688</f>
        <v>10</v>
      </c>
      <c r="F696" s="22">
        <f t="shared" si="222"/>
        <v>500</v>
      </c>
      <c r="G696" s="25">
        <f t="shared" si="218"/>
        <v>0.02</v>
      </c>
      <c r="H696" s="22">
        <f>G696*O$1022</f>
        <v>0</v>
      </c>
    </row>
    <row r="697" spans="1:8" ht="31.5" x14ac:dyDescent="0.45">
      <c r="A697" s="26"/>
      <c r="B697" s="26"/>
      <c r="C697" s="21" t="s">
        <v>127</v>
      </c>
      <c r="D697" s="22">
        <v>1</v>
      </c>
      <c r="E697" s="22">
        <f t="shared" ref="E697:F697" si="223">E688</f>
        <v>10</v>
      </c>
      <c r="F697" s="22">
        <f t="shared" si="223"/>
        <v>500</v>
      </c>
      <c r="G697" s="25">
        <f t="shared" si="218"/>
        <v>0.02</v>
      </c>
      <c r="H697" s="22">
        <f>G697*$O$1038</f>
        <v>0</v>
      </c>
    </row>
    <row r="698" spans="1:8" ht="15.75" x14ac:dyDescent="0.45">
      <c r="A698" s="1"/>
      <c r="B698" s="1"/>
      <c r="C698" s="1"/>
      <c r="D698" s="1"/>
      <c r="E698" s="1"/>
      <c r="F698" s="1"/>
      <c r="G698" s="68"/>
      <c r="H698" s="2"/>
    </row>
    <row r="699" spans="1:8" ht="31.5" x14ac:dyDescent="0.45">
      <c r="A699" s="10" t="s">
        <v>221</v>
      </c>
      <c r="B699" s="10" t="s">
        <v>9</v>
      </c>
      <c r="C699" s="12" t="s">
        <v>11</v>
      </c>
      <c r="D699" s="13">
        <v>2</v>
      </c>
      <c r="E699" s="13">
        <v>10</v>
      </c>
      <c r="F699" s="13">
        <v>3</v>
      </c>
      <c r="G699" s="16">
        <f>(D699+D700+D701)*E699/F699</f>
        <v>10</v>
      </c>
      <c r="H699" s="17">
        <f>G699*$K$3</f>
        <v>145</v>
      </c>
    </row>
    <row r="700" spans="1:8" ht="15.75" x14ac:dyDescent="0.45">
      <c r="A700" s="18"/>
      <c r="B700" s="18"/>
      <c r="C700" s="12" t="s">
        <v>48</v>
      </c>
      <c r="D700" s="13">
        <v>0</v>
      </c>
      <c r="E700" s="13"/>
      <c r="F700" s="13"/>
      <c r="G700" s="36"/>
      <c r="H700" s="37"/>
    </row>
    <row r="701" spans="1:8" ht="15.75" x14ac:dyDescent="0.45">
      <c r="A701" s="18"/>
      <c r="B701" s="18"/>
      <c r="C701" s="12" t="s">
        <v>139</v>
      </c>
      <c r="D701" s="13">
        <v>1</v>
      </c>
      <c r="E701" s="13"/>
      <c r="F701" s="13"/>
      <c r="G701" s="31"/>
      <c r="H701" s="32"/>
    </row>
    <row r="702" spans="1:8" ht="63" x14ac:dyDescent="0.45">
      <c r="A702" s="18"/>
      <c r="B702" s="18"/>
      <c r="C702" s="21" t="s">
        <v>222</v>
      </c>
      <c r="D702" s="22">
        <v>0.1</v>
      </c>
      <c r="E702" s="22">
        <f t="shared" ref="E702:F702" si="224">E699</f>
        <v>10</v>
      </c>
      <c r="F702" s="22">
        <f t="shared" si="224"/>
        <v>3</v>
      </c>
      <c r="G702" s="25">
        <f t="shared" ref="G702:G706" si="225">D702*E702/F702</f>
        <v>0.33333333333333331</v>
      </c>
      <c r="H702" s="22">
        <f>G702*$O$1030</f>
        <v>0</v>
      </c>
    </row>
    <row r="703" spans="1:8" ht="15.75" x14ac:dyDescent="0.45">
      <c r="A703" s="18"/>
      <c r="B703" s="18"/>
      <c r="C703" s="21" t="s">
        <v>60</v>
      </c>
      <c r="D703" s="22">
        <v>0.1</v>
      </c>
      <c r="E703" s="22">
        <f t="shared" ref="E703:F703" si="226">E702</f>
        <v>10</v>
      </c>
      <c r="F703" s="22">
        <f t="shared" si="226"/>
        <v>3</v>
      </c>
      <c r="G703" s="25">
        <f t="shared" si="225"/>
        <v>0.33333333333333331</v>
      </c>
      <c r="H703" s="22">
        <f>G703*$O$1039</f>
        <v>0</v>
      </c>
    </row>
    <row r="704" spans="1:8" ht="31.5" x14ac:dyDescent="0.45">
      <c r="A704" s="18"/>
      <c r="B704" s="18"/>
      <c r="C704" s="21" t="s">
        <v>45</v>
      </c>
      <c r="D704" s="22"/>
      <c r="E704" s="22">
        <f t="shared" ref="E704:F704" si="227">E699</f>
        <v>10</v>
      </c>
      <c r="F704" s="22">
        <f t="shared" si="227"/>
        <v>3</v>
      </c>
      <c r="G704" s="25">
        <f t="shared" si="225"/>
        <v>0</v>
      </c>
      <c r="H704" s="22">
        <f>G704*O$1027</f>
        <v>0</v>
      </c>
    </row>
    <row r="705" spans="1:8" ht="31.5" x14ac:dyDescent="0.45">
      <c r="A705" s="18"/>
      <c r="B705" s="18"/>
      <c r="C705" s="21" t="s">
        <v>12</v>
      </c>
      <c r="D705" s="22"/>
      <c r="E705" s="22">
        <f t="shared" ref="E705:F705" si="228">E699</f>
        <v>10</v>
      </c>
      <c r="F705" s="22">
        <f t="shared" si="228"/>
        <v>3</v>
      </c>
      <c r="G705" s="25">
        <f t="shared" si="225"/>
        <v>0</v>
      </c>
      <c r="H705" s="22">
        <f>G705*O$1022</f>
        <v>0</v>
      </c>
    </row>
    <row r="706" spans="1:8" ht="31.5" x14ac:dyDescent="0.45">
      <c r="A706" s="26"/>
      <c r="B706" s="26"/>
      <c r="C706" s="21" t="s">
        <v>127</v>
      </c>
      <c r="D706" s="22"/>
      <c r="E706" s="22">
        <f t="shared" ref="E706:F706" si="229">E699</f>
        <v>10</v>
      </c>
      <c r="F706" s="22">
        <f t="shared" si="229"/>
        <v>3</v>
      </c>
      <c r="G706" s="25">
        <f t="shared" si="225"/>
        <v>0</v>
      </c>
      <c r="H706" s="22">
        <f>G706*$O$1038</f>
        <v>0</v>
      </c>
    </row>
    <row r="707" spans="1:8" ht="15.75" x14ac:dyDescent="0.45">
      <c r="A707" s="1"/>
      <c r="B707" s="1"/>
      <c r="C707" s="1"/>
      <c r="D707" s="1"/>
      <c r="E707" s="1"/>
      <c r="F707" s="1"/>
      <c r="G707" s="68"/>
      <c r="H707" s="2"/>
    </row>
    <row r="708" spans="1:8" ht="31.5" x14ac:dyDescent="0.45">
      <c r="A708" s="10" t="s">
        <v>223</v>
      </c>
      <c r="B708" s="10" t="s">
        <v>22</v>
      </c>
      <c r="C708" s="12" t="s">
        <v>11</v>
      </c>
      <c r="D708" s="13">
        <v>1</v>
      </c>
      <c r="E708" s="13">
        <v>10</v>
      </c>
      <c r="F708" s="13">
        <v>30</v>
      </c>
      <c r="G708" s="16">
        <f>(D708+D709+D710)*E708/F708</f>
        <v>0.33333333333333331</v>
      </c>
      <c r="H708" s="17">
        <f>G708*$K$3</f>
        <v>4.833333333333333</v>
      </c>
    </row>
    <row r="709" spans="1:8" ht="15.75" x14ac:dyDescent="0.45">
      <c r="A709" s="18"/>
      <c r="B709" s="18"/>
      <c r="C709" s="12" t="s">
        <v>48</v>
      </c>
      <c r="D709" s="13">
        <v>0</v>
      </c>
      <c r="E709" s="13"/>
      <c r="F709" s="13"/>
      <c r="G709" s="36"/>
      <c r="H709" s="37"/>
    </row>
    <row r="710" spans="1:8" ht="15.75" x14ac:dyDescent="0.45">
      <c r="A710" s="18"/>
      <c r="B710" s="18"/>
      <c r="C710" s="12" t="s">
        <v>139</v>
      </c>
      <c r="D710" s="13">
        <v>0</v>
      </c>
      <c r="E710" s="13"/>
      <c r="F710" s="13"/>
      <c r="G710" s="31"/>
      <c r="H710" s="32"/>
    </row>
    <row r="711" spans="1:8" ht="63" x14ac:dyDescent="0.45">
      <c r="A711" s="18"/>
      <c r="B711" s="18"/>
      <c r="C711" s="21" t="s">
        <v>222</v>
      </c>
      <c r="D711" s="22">
        <v>0.05</v>
      </c>
      <c r="E711" s="22">
        <f t="shared" ref="E711:F711" si="230">E708</f>
        <v>10</v>
      </c>
      <c r="F711" s="22">
        <f t="shared" si="230"/>
        <v>30</v>
      </c>
      <c r="G711" s="25">
        <f t="shared" ref="G711:G715" si="231">D711*E711/F711</f>
        <v>1.6666666666666666E-2</v>
      </c>
      <c r="H711" s="22">
        <f>G711*$O$1030</f>
        <v>0</v>
      </c>
    </row>
    <row r="712" spans="1:8" ht="15.75" x14ac:dyDescent="0.45">
      <c r="A712" s="18"/>
      <c r="B712" s="18"/>
      <c r="C712" s="21" t="s">
        <v>60</v>
      </c>
      <c r="D712" s="22">
        <v>0.05</v>
      </c>
      <c r="E712" s="22">
        <f t="shared" ref="E712:F712" si="232">E711</f>
        <v>10</v>
      </c>
      <c r="F712" s="22">
        <f t="shared" si="232"/>
        <v>30</v>
      </c>
      <c r="G712" s="25">
        <f t="shared" si="231"/>
        <v>1.6666666666666666E-2</v>
      </c>
      <c r="H712" s="22">
        <f>G712*$O$1039</f>
        <v>0</v>
      </c>
    </row>
    <row r="713" spans="1:8" ht="31.5" x14ac:dyDescent="0.45">
      <c r="A713" s="18"/>
      <c r="B713" s="18"/>
      <c r="C713" s="21" t="s">
        <v>45</v>
      </c>
      <c r="D713" s="22"/>
      <c r="E713" s="22">
        <f t="shared" ref="E713:F713" si="233">E708</f>
        <v>10</v>
      </c>
      <c r="F713" s="22">
        <f t="shared" si="233"/>
        <v>30</v>
      </c>
      <c r="G713" s="25">
        <f t="shared" si="231"/>
        <v>0</v>
      </c>
      <c r="H713" s="22">
        <f>G713*O$1027</f>
        <v>0</v>
      </c>
    </row>
    <row r="714" spans="1:8" ht="31.5" x14ac:dyDescent="0.45">
      <c r="A714" s="18"/>
      <c r="B714" s="18"/>
      <c r="C714" s="21" t="s">
        <v>12</v>
      </c>
      <c r="D714" s="22"/>
      <c r="E714" s="22">
        <f t="shared" ref="E714:F714" si="234">E708</f>
        <v>10</v>
      </c>
      <c r="F714" s="22">
        <f t="shared" si="234"/>
        <v>30</v>
      </c>
      <c r="G714" s="25">
        <f t="shared" si="231"/>
        <v>0</v>
      </c>
      <c r="H714" s="22">
        <f>G714*O$1022</f>
        <v>0</v>
      </c>
    </row>
    <row r="715" spans="1:8" ht="31.5" x14ac:dyDescent="0.45">
      <c r="A715" s="26"/>
      <c r="B715" s="26"/>
      <c r="C715" s="21" t="s">
        <v>127</v>
      </c>
      <c r="D715" s="22"/>
      <c r="E715" s="22">
        <f t="shared" ref="E715:F715" si="235">E708</f>
        <v>10</v>
      </c>
      <c r="F715" s="22">
        <f t="shared" si="235"/>
        <v>30</v>
      </c>
      <c r="G715" s="25">
        <f t="shared" si="231"/>
        <v>0</v>
      </c>
      <c r="H715" s="22">
        <f>G715*$O$1038</f>
        <v>0</v>
      </c>
    </row>
    <row r="716" spans="1:8" ht="15.75" x14ac:dyDescent="0.45">
      <c r="A716" s="1"/>
      <c r="B716" s="1"/>
      <c r="C716" s="1"/>
      <c r="D716" s="1"/>
      <c r="E716" s="1"/>
      <c r="F716" s="1"/>
      <c r="G716" s="68"/>
      <c r="H716" s="2"/>
    </row>
    <row r="717" spans="1:8" ht="31.5" x14ac:dyDescent="0.45">
      <c r="A717" s="10" t="s">
        <v>224</v>
      </c>
      <c r="B717" s="10" t="s">
        <v>101</v>
      </c>
      <c r="C717" s="12" t="s">
        <v>11</v>
      </c>
      <c r="D717" s="13">
        <v>2</v>
      </c>
      <c r="E717" s="13">
        <v>10</v>
      </c>
      <c r="F717" s="83">
        <v>20</v>
      </c>
      <c r="G717" s="16">
        <f>(D717+D718+D719)*E717/F717</f>
        <v>1.5</v>
      </c>
      <c r="H717" s="17">
        <f>G717*$K$3</f>
        <v>21.75</v>
      </c>
    </row>
    <row r="718" spans="1:8" ht="15.75" x14ac:dyDescent="0.45">
      <c r="A718" s="18"/>
      <c r="B718" s="18"/>
      <c r="C718" s="12" t="s">
        <v>48</v>
      </c>
      <c r="D718" s="13">
        <v>0</v>
      </c>
      <c r="E718" s="13"/>
      <c r="F718" s="13"/>
      <c r="G718" s="36"/>
      <c r="H718" s="37"/>
    </row>
    <row r="719" spans="1:8" ht="15.75" x14ac:dyDescent="0.45">
      <c r="A719" s="18"/>
      <c r="B719" s="18"/>
      <c r="C719" s="12" t="s">
        <v>139</v>
      </c>
      <c r="D719" s="13">
        <v>1</v>
      </c>
      <c r="E719" s="13"/>
      <c r="F719" s="13"/>
      <c r="G719" s="31"/>
      <c r="H719" s="32"/>
    </row>
    <row r="720" spans="1:8" ht="15.75" x14ac:dyDescent="0.45">
      <c r="A720" s="18"/>
      <c r="B720" s="18"/>
      <c r="C720" s="21" t="s">
        <v>49</v>
      </c>
      <c r="D720" s="22">
        <v>0.2</v>
      </c>
      <c r="E720" s="22">
        <f t="shared" ref="E720:F720" si="236">E717</f>
        <v>10</v>
      </c>
      <c r="F720" s="22">
        <f t="shared" si="236"/>
        <v>20</v>
      </c>
      <c r="G720" s="25">
        <f t="shared" ref="G720:G721" si="237">D720*E720/F720</f>
        <v>0.1</v>
      </c>
      <c r="H720" s="22">
        <f>G720*$O$1039</f>
        <v>0</v>
      </c>
    </row>
    <row r="721" spans="1:8" ht="15.75" x14ac:dyDescent="0.45">
      <c r="A721" s="18"/>
      <c r="B721" s="18"/>
      <c r="C721" s="21" t="s">
        <v>141</v>
      </c>
      <c r="D721" s="22">
        <f>D720</f>
        <v>0.2</v>
      </c>
      <c r="E721" s="22">
        <f t="shared" ref="E721:F721" si="238">E717</f>
        <v>10</v>
      </c>
      <c r="F721" s="22">
        <f t="shared" si="238"/>
        <v>20</v>
      </c>
      <c r="G721" s="25">
        <f t="shared" si="237"/>
        <v>0.1</v>
      </c>
      <c r="H721" s="22">
        <f>G721*$O$1034</f>
        <v>0</v>
      </c>
    </row>
    <row r="722" spans="1:8" ht="15.75" x14ac:dyDescent="0.45">
      <c r="A722" s="1"/>
      <c r="B722" s="1"/>
      <c r="C722" s="1"/>
      <c r="D722" s="1"/>
      <c r="E722" s="1"/>
      <c r="F722" s="1"/>
      <c r="G722" s="68"/>
      <c r="H722" s="2"/>
    </row>
    <row r="723" spans="1:8" ht="31.5" x14ac:dyDescent="0.45">
      <c r="A723" s="10" t="s">
        <v>225</v>
      </c>
      <c r="B723" s="10" t="s">
        <v>199</v>
      </c>
      <c r="C723" s="12" t="s">
        <v>11</v>
      </c>
      <c r="D723" s="13">
        <v>2</v>
      </c>
      <c r="E723" s="13">
        <v>10</v>
      </c>
      <c r="F723" s="13">
        <v>6</v>
      </c>
      <c r="G723" s="16">
        <f>(D723+D724+D725)*E723/F723</f>
        <v>5</v>
      </c>
      <c r="H723" s="17">
        <f>G723*$K$3</f>
        <v>72.5</v>
      </c>
    </row>
    <row r="724" spans="1:8" ht="31.5" x14ac:dyDescent="0.45">
      <c r="A724" s="18"/>
      <c r="B724" s="18"/>
      <c r="C724" s="12" t="s">
        <v>10</v>
      </c>
      <c r="D724" s="13">
        <v>0</v>
      </c>
      <c r="E724" s="13"/>
      <c r="F724" s="13"/>
      <c r="G724" s="36"/>
      <c r="H724" s="37"/>
    </row>
    <row r="725" spans="1:8" ht="15.75" x14ac:dyDescent="0.45">
      <c r="A725" s="18"/>
      <c r="B725" s="18"/>
      <c r="C725" s="12" t="s">
        <v>139</v>
      </c>
      <c r="D725" s="13">
        <v>1</v>
      </c>
      <c r="E725" s="13"/>
      <c r="F725" s="13"/>
      <c r="G725" s="31"/>
      <c r="H725" s="32"/>
    </row>
    <row r="726" spans="1:8" ht="15.75" x14ac:dyDescent="0.45">
      <c r="A726" s="18"/>
      <c r="B726" s="18"/>
      <c r="C726" s="22"/>
      <c r="D726" s="22"/>
      <c r="E726" s="22"/>
      <c r="F726" s="22"/>
      <c r="G726" s="22"/>
      <c r="H726" s="22"/>
    </row>
    <row r="727" spans="1:8" ht="15.75" x14ac:dyDescent="0.45">
      <c r="A727" s="26"/>
      <c r="B727" s="26"/>
      <c r="C727" s="22"/>
      <c r="D727" s="22"/>
      <c r="E727" s="22"/>
      <c r="F727" s="22"/>
      <c r="G727" s="22"/>
      <c r="H727" s="22"/>
    </row>
    <row r="728" spans="1:8" ht="15.75" x14ac:dyDescent="0.45">
      <c r="A728" s="1"/>
      <c r="B728" s="1"/>
      <c r="C728" s="1"/>
      <c r="D728" s="1"/>
      <c r="E728" s="1"/>
      <c r="F728" s="1"/>
      <c r="G728" s="68"/>
      <c r="H728" s="2"/>
    </row>
    <row r="729" spans="1:8" ht="31.5" x14ac:dyDescent="0.45">
      <c r="A729" s="10" t="s">
        <v>226</v>
      </c>
      <c r="B729" s="10" t="s">
        <v>22</v>
      </c>
      <c r="C729" s="12" t="s">
        <v>11</v>
      </c>
      <c r="D729" s="13">
        <v>2</v>
      </c>
      <c r="E729" s="13">
        <v>10</v>
      </c>
      <c r="F729" s="13">
        <v>12</v>
      </c>
      <c r="G729" s="16">
        <f>(D729+D730+D731)*E729/F729</f>
        <v>2.5</v>
      </c>
      <c r="H729" s="17">
        <f>G729*$K$3</f>
        <v>36.25</v>
      </c>
    </row>
    <row r="730" spans="1:8" ht="15.75" x14ac:dyDescent="0.45">
      <c r="A730" s="18"/>
      <c r="B730" s="18"/>
      <c r="C730" s="12" t="s">
        <v>48</v>
      </c>
      <c r="D730" s="13"/>
      <c r="E730" s="13"/>
      <c r="F730" s="13"/>
      <c r="G730" s="36"/>
      <c r="H730" s="37"/>
    </row>
    <row r="731" spans="1:8" ht="15.75" x14ac:dyDescent="0.45">
      <c r="A731" s="18"/>
      <c r="B731" s="18"/>
      <c r="C731" s="12" t="s">
        <v>139</v>
      </c>
      <c r="D731" s="13">
        <v>1</v>
      </c>
      <c r="E731" s="13"/>
      <c r="F731" s="13"/>
      <c r="G731" s="31"/>
      <c r="H731" s="32"/>
    </row>
    <row r="732" spans="1:8" ht="47.25" x14ac:dyDescent="0.45">
      <c r="A732" s="18"/>
      <c r="B732" s="18"/>
      <c r="C732" s="21" t="s">
        <v>36</v>
      </c>
      <c r="D732" s="22">
        <v>0</v>
      </c>
      <c r="E732" s="22">
        <f t="shared" ref="E732:F732" si="239">E729</f>
        <v>10</v>
      </c>
      <c r="F732" s="22">
        <f t="shared" si="239"/>
        <v>12</v>
      </c>
      <c r="G732" s="25">
        <f t="shared" ref="G732:G734" si="240">D732*E732/F732</f>
        <v>0</v>
      </c>
      <c r="H732" s="22">
        <f>G732*$O$1029</f>
        <v>0</v>
      </c>
    </row>
    <row r="733" spans="1:8" ht="31.5" x14ac:dyDescent="0.45">
      <c r="A733" s="18"/>
      <c r="B733" s="18"/>
      <c r="C733" s="21" t="s">
        <v>172</v>
      </c>
      <c r="D733" s="22">
        <v>0.2</v>
      </c>
      <c r="E733" s="22">
        <f>+E732</f>
        <v>10</v>
      </c>
      <c r="F733" s="22">
        <f>F729</f>
        <v>12</v>
      </c>
      <c r="G733" s="25">
        <f t="shared" si="240"/>
        <v>0.16666666666666666</v>
      </c>
      <c r="H733" s="22">
        <f>G733*$O$1040</f>
        <v>0</v>
      </c>
    </row>
    <row r="734" spans="1:8" ht="31.5" x14ac:dyDescent="0.45">
      <c r="A734" s="26"/>
      <c r="B734" s="26"/>
      <c r="C734" s="21" t="s">
        <v>43</v>
      </c>
      <c r="D734" s="22">
        <v>0.2</v>
      </c>
      <c r="E734" s="22">
        <f t="shared" ref="E734:F734" si="241">E729</f>
        <v>10</v>
      </c>
      <c r="F734" s="22">
        <f t="shared" si="241"/>
        <v>12</v>
      </c>
      <c r="G734" s="25">
        <f t="shared" si="240"/>
        <v>0.16666666666666666</v>
      </c>
      <c r="H734" s="22">
        <f>G734*$O$1030</f>
        <v>0</v>
      </c>
    </row>
    <row r="735" spans="1:8" ht="15.75" x14ac:dyDescent="0.45">
      <c r="A735" s="1"/>
      <c r="B735" s="1"/>
      <c r="C735" s="1"/>
      <c r="D735" s="1"/>
      <c r="E735" s="1"/>
      <c r="F735" s="1"/>
      <c r="G735" s="68"/>
      <c r="H735" s="2"/>
    </row>
    <row r="736" spans="1:8" ht="31.5" x14ac:dyDescent="0.45">
      <c r="A736" s="10" t="s">
        <v>227</v>
      </c>
      <c r="B736" s="10" t="s">
        <v>22</v>
      </c>
      <c r="C736" s="12" t="s">
        <v>11</v>
      </c>
      <c r="D736" s="13">
        <v>2</v>
      </c>
      <c r="E736" s="13">
        <v>10</v>
      </c>
      <c r="F736" s="13">
        <v>16</v>
      </c>
      <c r="G736" s="16">
        <f>(D736+D737+D738)*E736/F736</f>
        <v>1.875</v>
      </c>
      <c r="H736" s="17">
        <f>G736*$K$3</f>
        <v>27.1875</v>
      </c>
    </row>
    <row r="737" spans="1:8" ht="15.75" x14ac:dyDescent="0.45">
      <c r="A737" s="18"/>
      <c r="B737" s="18"/>
      <c r="C737" s="12" t="s">
        <v>48</v>
      </c>
      <c r="D737" s="13">
        <v>0</v>
      </c>
      <c r="E737" s="13"/>
      <c r="F737" s="13"/>
      <c r="G737" s="36"/>
      <c r="H737" s="37"/>
    </row>
    <row r="738" spans="1:8" ht="15.75" x14ac:dyDescent="0.45">
      <c r="A738" s="18"/>
      <c r="B738" s="18"/>
      <c r="C738" s="12" t="s">
        <v>139</v>
      </c>
      <c r="D738" s="13">
        <v>1</v>
      </c>
      <c r="E738" s="13"/>
      <c r="F738" s="13"/>
      <c r="G738" s="31"/>
      <c r="H738" s="32"/>
    </row>
    <row r="739" spans="1:8" ht="47.25" x14ac:dyDescent="0.45">
      <c r="A739" s="18"/>
      <c r="B739" s="18"/>
      <c r="C739" s="21" t="s">
        <v>36</v>
      </c>
      <c r="D739" s="22">
        <v>0</v>
      </c>
      <c r="E739" s="22">
        <f t="shared" ref="E739:F739" si="242">E736</f>
        <v>10</v>
      </c>
      <c r="F739" s="22">
        <f t="shared" si="242"/>
        <v>16</v>
      </c>
      <c r="G739" s="25">
        <f t="shared" ref="G739:G741" si="243">D739*E739/F739</f>
        <v>0</v>
      </c>
      <c r="H739" s="22">
        <f>G739*$O$1029</f>
        <v>0</v>
      </c>
    </row>
    <row r="740" spans="1:8" ht="31.5" x14ac:dyDescent="0.45">
      <c r="A740" s="18"/>
      <c r="B740" s="18"/>
      <c r="C740" s="21" t="s">
        <v>172</v>
      </c>
      <c r="D740" s="22">
        <v>0.3</v>
      </c>
      <c r="E740" s="22">
        <f>+E739</f>
        <v>10</v>
      </c>
      <c r="F740" s="22">
        <f>F736</f>
        <v>16</v>
      </c>
      <c r="G740" s="25">
        <f t="shared" si="243"/>
        <v>0.1875</v>
      </c>
      <c r="H740" s="22">
        <f>G740*$O$1040</f>
        <v>0</v>
      </c>
    </row>
    <row r="741" spans="1:8" ht="31.5" x14ac:dyDescent="0.45">
      <c r="A741" s="26"/>
      <c r="B741" s="26"/>
      <c r="C741" s="21" t="s">
        <v>43</v>
      </c>
      <c r="D741" s="22">
        <v>0.25</v>
      </c>
      <c r="E741" s="22">
        <f t="shared" ref="E741:F741" si="244">E736</f>
        <v>10</v>
      </c>
      <c r="F741" s="22">
        <f t="shared" si="244"/>
        <v>16</v>
      </c>
      <c r="G741" s="25">
        <f t="shared" si="243"/>
        <v>0.15625</v>
      </c>
      <c r="H741" s="22">
        <f>G741*$O$1030</f>
        <v>0</v>
      </c>
    </row>
    <row r="742" spans="1:8" ht="15.75" x14ac:dyDescent="0.45">
      <c r="A742" s="1"/>
      <c r="B742" s="1"/>
      <c r="C742" s="1"/>
      <c r="D742" s="1"/>
      <c r="E742" s="1"/>
      <c r="F742" s="1"/>
      <c r="G742" s="68"/>
      <c r="H742" s="2"/>
    </row>
    <row r="743" spans="1:8" ht="31.5" x14ac:dyDescent="0.45">
      <c r="A743" s="79" t="s">
        <v>228</v>
      </c>
      <c r="B743" s="10" t="s">
        <v>22</v>
      </c>
      <c r="C743" s="12" t="s">
        <v>11</v>
      </c>
      <c r="D743" s="13">
        <v>2</v>
      </c>
      <c r="E743" s="13">
        <v>10</v>
      </c>
      <c r="F743" s="13">
        <v>6</v>
      </c>
      <c r="G743" s="16">
        <f>(D743+D744+D745)*E743/F743</f>
        <v>5</v>
      </c>
      <c r="H743" s="17">
        <f>G743*$K$3</f>
        <v>72.5</v>
      </c>
    </row>
    <row r="744" spans="1:8" ht="15.75" x14ac:dyDescent="0.45">
      <c r="A744" s="81"/>
      <c r="B744" s="18"/>
      <c r="C744" s="12" t="s">
        <v>48</v>
      </c>
      <c r="D744" s="13">
        <v>0</v>
      </c>
      <c r="E744" s="13"/>
      <c r="F744" s="13"/>
      <c r="G744" s="36"/>
      <c r="H744" s="37"/>
    </row>
    <row r="745" spans="1:8" ht="15.75" x14ac:dyDescent="0.45">
      <c r="A745" s="81"/>
      <c r="B745" s="18"/>
      <c r="C745" s="12" t="s">
        <v>139</v>
      </c>
      <c r="D745" s="13">
        <v>1</v>
      </c>
      <c r="E745" s="13"/>
      <c r="F745" s="13"/>
      <c r="G745" s="31"/>
      <c r="H745" s="32"/>
    </row>
    <row r="746" spans="1:8" ht="47.25" x14ac:dyDescent="0.45">
      <c r="A746" s="81"/>
      <c r="B746" s="18"/>
      <c r="C746" s="21" t="s">
        <v>36</v>
      </c>
      <c r="D746" s="22">
        <v>0</v>
      </c>
      <c r="E746" s="22">
        <f t="shared" ref="E746:F746" si="245">E743</f>
        <v>10</v>
      </c>
      <c r="F746" s="22">
        <f t="shared" si="245"/>
        <v>6</v>
      </c>
      <c r="G746" s="25">
        <f t="shared" ref="G746:G748" si="246">D746*E746/F746</f>
        <v>0</v>
      </c>
      <c r="H746" s="22">
        <f>G746*$O$1029</f>
        <v>0</v>
      </c>
    </row>
    <row r="747" spans="1:8" ht="31.5" x14ac:dyDescent="0.45">
      <c r="A747" s="81"/>
      <c r="B747" s="18"/>
      <c r="C747" s="21" t="s">
        <v>172</v>
      </c>
      <c r="D747" s="22">
        <v>0.5</v>
      </c>
      <c r="E747" s="22">
        <f>+E746</f>
        <v>10</v>
      </c>
      <c r="F747" s="22">
        <f>F743</f>
        <v>6</v>
      </c>
      <c r="G747" s="25">
        <f t="shared" si="246"/>
        <v>0.83333333333333337</v>
      </c>
      <c r="H747" s="22">
        <f>G747*$O$1040</f>
        <v>0</v>
      </c>
    </row>
    <row r="748" spans="1:8" ht="31.5" x14ac:dyDescent="0.45">
      <c r="A748" s="82"/>
      <c r="B748" s="26"/>
      <c r="C748" s="21" t="s">
        <v>43</v>
      </c>
      <c r="D748" s="22">
        <v>0.2</v>
      </c>
      <c r="E748" s="22">
        <f t="shared" ref="E748:F748" si="247">E743</f>
        <v>10</v>
      </c>
      <c r="F748" s="22">
        <f t="shared" si="247"/>
        <v>6</v>
      </c>
      <c r="G748" s="25">
        <f t="shared" si="246"/>
        <v>0.33333333333333331</v>
      </c>
      <c r="H748" s="22">
        <f>G748*$O$1030</f>
        <v>0</v>
      </c>
    </row>
    <row r="749" spans="1:8" ht="15.75" x14ac:dyDescent="0.45">
      <c r="A749" s="1"/>
      <c r="B749" s="1"/>
      <c r="C749" s="1"/>
      <c r="D749" s="1"/>
      <c r="E749" s="1"/>
      <c r="F749" s="1"/>
      <c r="G749" s="68"/>
      <c r="H749" s="2"/>
    </row>
    <row r="750" spans="1:8" ht="31.5" x14ac:dyDescent="0.45">
      <c r="A750" s="10" t="s">
        <v>229</v>
      </c>
      <c r="B750" s="10" t="s">
        <v>22</v>
      </c>
      <c r="C750" s="12" t="s">
        <v>11</v>
      </c>
      <c r="D750" s="13">
        <v>3</v>
      </c>
      <c r="E750" s="13">
        <v>10</v>
      </c>
      <c r="F750" s="13">
        <v>15</v>
      </c>
      <c r="G750" s="16">
        <f>(D750+D751+D752)*E750/F750</f>
        <v>2.6666666666666665</v>
      </c>
      <c r="H750" s="17">
        <f>G750*$K$3</f>
        <v>38.666666666666664</v>
      </c>
    </row>
    <row r="751" spans="1:8" ht="15.75" x14ac:dyDescent="0.45">
      <c r="A751" s="18"/>
      <c r="B751" s="18"/>
      <c r="C751" s="12" t="s">
        <v>48</v>
      </c>
      <c r="D751" s="13"/>
      <c r="E751" s="13"/>
      <c r="F751" s="13"/>
      <c r="G751" s="36"/>
      <c r="H751" s="37"/>
    </row>
    <row r="752" spans="1:8" ht="15.75" x14ac:dyDescent="0.45">
      <c r="A752" s="18"/>
      <c r="B752" s="18"/>
      <c r="C752" s="12" t="s">
        <v>139</v>
      </c>
      <c r="D752" s="13">
        <v>1</v>
      </c>
      <c r="E752" s="13"/>
      <c r="F752" s="13"/>
      <c r="G752" s="31"/>
      <c r="H752" s="32"/>
    </row>
    <row r="753" spans="1:8" ht="47.25" x14ac:dyDescent="0.45">
      <c r="A753" s="18"/>
      <c r="B753" s="18"/>
      <c r="C753" s="21" t="s">
        <v>36</v>
      </c>
      <c r="D753" s="22"/>
      <c r="E753" s="22">
        <f t="shared" ref="E753:F753" si="248">E750</f>
        <v>10</v>
      </c>
      <c r="F753" s="22">
        <f t="shared" si="248"/>
        <v>15</v>
      </c>
      <c r="G753" s="25">
        <f t="shared" ref="G753:G754" si="249">D753*E753/F753</f>
        <v>0</v>
      </c>
      <c r="H753" s="22">
        <f>G753*$O$1029</f>
        <v>0</v>
      </c>
    </row>
    <row r="754" spans="1:8" ht="31.5" x14ac:dyDescent="0.45">
      <c r="A754" s="26"/>
      <c r="B754" s="26"/>
      <c r="C754" s="21" t="s">
        <v>43</v>
      </c>
      <c r="D754" s="22">
        <v>0.2</v>
      </c>
      <c r="E754" s="22">
        <f t="shared" ref="E754:F754" si="250">E750</f>
        <v>10</v>
      </c>
      <c r="F754" s="22">
        <f t="shared" si="250"/>
        <v>15</v>
      </c>
      <c r="G754" s="25">
        <f t="shared" si="249"/>
        <v>0.13333333333333333</v>
      </c>
      <c r="H754" s="22">
        <f>G754*$O$1030</f>
        <v>0</v>
      </c>
    </row>
    <row r="755" spans="1:8" ht="15.75" x14ac:dyDescent="0.45">
      <c r="A755" s="1"/>
      <c r="B755" s="1"/>
      <c r="C755" s="1"/>
      <c r="D755" s="1"/>
      <c r="E755" s="1"/>
      <c r="F755" s="1"/>
      <c r="G755" s="68"/>
      <c r="H755" s="2"/>
    </row>
    <row r="756" spans="1:8" ht="31.5" x14ac:dyDescent="0.45">
      <c r="A756" s="10" t="s">
        <v>230</v>
      </c>
      <c r="B756" s="10" t="s">
        <v>22</v>
      </c>
      <c r="C756" s="12" t="s">
        <v>11</v>
      </c>
      <c r="D756" s="13">
        <v>2</v>
      </c>
      <c r="E756" s="13">
        <v>10</v>
      </c>
      <c r="F756" s="13">
        <v>10</v>
      </c>
      <c r="G756" s="16">
        <f>(D756+D757+D758)*E756/F756</f>
        <v>3</v>
      </c>
      <c r="H756" s="17">
        <f>G756*$K$3</f>
        <v>43.5</v>
      </c>
    </row>
    <row r="757" spans="1:8" ht="15.75" x14ac:dyDescent="0.45">
      <c r="A757" s="18"/>
      <c r="B757" s="18"/>
      <c r="C757" s="12" t="s">
        <v>48</v>
      </c>
      <c r="D757" s="13"/>
      <c r="E757" s="13"/>
      <c r="F757" s="13"/>
      <c r="G757" s="36"/>
      <c r="H757" s="37"/>
    </row>
    <row r="758" spans="1:8" ht="15.75" x14ac:dyDescent="0.45">
      <c r="A758" s="18"/>
      <c r="B758" s="18"/>
      <c r="C758" s="12" t="s">
        <v>139</v>
      </c>
      <c r="D758" s="13">
        <v>1</v>
      </c>
      <c r="E758" s="13"/>
      <c r="F758" s="13"/>
      <c r="G758" s="31"/>
      <c r="H758" s="32"/>
    </row>
    <row r="759" spans="1:8" ht="47.25" x14ac:dyDescent="0.45">
      <c r="A759" s="18"/>
      <c r="B759" s="18"/>
      <c r="C759" s="21" t="s">
        <v>36</v>
      </c>
      <c r="D759" s="22"/>
      <c r="E759" s="22">
        <f t="shared" ref="E759:F759" si="251">E756</f>
        <v>10</v>
      </c>
      <c r="F759" s="22">
        <f t="shared" si="251"/>
        <v>10</v>
      </c>
      <c r="G759" s="25">
        <f t="shared" ref="G759:G760" si="252">D759*E759/F759</f>
        <v>0</v>
      </c>
      <c r="H759" s="22">
        <f>G759*$O$1029</f>
        <v>0</v>
      </c>
    </row>
    <row r="760" spans="1:8" ht="31.5" x14ac:dyDescent="0.45">
      <c r="A760" s="26"/>
      <c r="B760" s="26"/>
      <c r="C760" s="21" t="s">
        <v>43</v>
      </c>
      <c r="D760" s="22">
        <v>0.1</v>
      </c>
      <c r="E760" s="22">
        <f t="shared" ref="E760:F760" si="253">E756</f>
        <v>10</v>
      </c>
      <c r="F760" s="22">
        <f t="shared" si="253"/>
        <v>10</v>
      </c>
      <c r="G760" s="25">
        <f t="shared" si="252"/>
        <v>0.1</v>
      </c>
      <c r="H760" s="22">
        <f>G760*$O$1030</f>
        <v>0</v>
      </c>
    </row>
    <row r="761" spans="1:8" ht="15.75" x14ac:dyDescent="0.45">
      <c r="A761" s="1"/>
      <c r="B761" s="1"/>
      <c r="C761" s="1"/>
      <c r="D761" s="1"/>
      <c r="E761" s="1"/>
      <c r="F761" s="1"/>
      <c r="G761" s="1"/>
      <c r="H761" s="1"/>
    </row>
    <row r="762" spans="1:8" ht="31.5" x14ac:dyDescent="0.45">
      <c r="A762" s="10" t="s">
        <v>231</v>
      </c>
      <c r="B762" s="10" t="s">
        <v>124</v>
      </c>
      <c r="C762" s="12" t="s">
        <v>11</v>
      </c>
      <c r="D762" s="13">
        <v>3</v>
      </c>
      <c r="E762" s="14">
        <f>E350</f>
        <v>10</v>
      </c>
      <c r="F762" s="14">
        <f>16*8</f>
        <v>128</v>
      </c>
      <c r="G762" s="16">
        <f>(D762+D763)*E762/F762</f>
        <v>0.234375</v>
      </c>
      <c r="H762" s="17">
        <f>G762*$K$3</f>
        <v>3.3984375</v>
      </c>
    </row>
    <row r="763" spans="1:8" ht="15.75" x14ac:dyDescent="0.45">
      <c r="A763" s="18"/>
      <c r="B763" s="18"/>
      <c r="C763" s="12" t="s">
        <v>48</v>
      </c>
      <c r="D763" s="13">
        <v>0</v>
      </c>
      <c r="E763" s="14"/>
      <c r="F763" s="14"/>
      <c r="G763" s="31"/>
      <c r="H763" s="32"/>
    </row>
    <row r="764" spans="1:8" ht="15.75" x14ac:dyDescent="0.45">
      <c r="A764" s="18"/>
      <c r="B764" s="18"/>
      <c r="C764" s="21" t="s">
        <v>61</v>
      </c>
      <c r="D764" s="22">
        <v>1</v>
      </c>
      <c r="E764" s="23">
        <f t="shared" ref="E764:E768" si="254">$E$762</f>
        <v>10</v>
      </c>
      <c r="F764" s="23">
        <f t="shared" ref="F764:F768" si="255">$F$762</f>
        <v>128</v>
      </c>
      <c r="G764" s="25">
        <f t="shared" ref="G764:G768" si="256">D764*E764/F764</f>
        <v>7.8125E-2</v>
      </c>
      <c r="H764" s="22">
        <f>G764*$O$1027</f>
        <v>0</v>
      </c>
    </row>
    <row r="765" spans="1:8" ht="15.75" x14ac:dyDescent="0.45">
      <c r="A765" s="18"/>
      <c r="B765" s="18"/>
      <c r="C765" s="21" t="s">
        <v>232</v>
      </c>
      <c r="D765" s="22">
        <v>2</v>
      </c>
      <c r="E765" s="23">
        <f t="shared" si="254"/>
        <v>10</v>
      </c>
      <c r="F765" s="23">
        <f t="shared" si="255"/>
        <v>128</v>
      </c>
      <c r="G765" s="25">
        <f t="shared" si="256"/>
        <v>0.15625</v>
      </c>
      <c r="H765" s="22">
        <f>G765*$O$1033</f>
        <v>0</v>
      </c>
    </row>
    <row r="766" spans="1:8" ht="31.5" x14ac:dyDescent="0.45">
      <c r="A766" s="18"/>
      <c r="B766" s="18"/>
      <c r="C766" s="21" t="s">
        <v>43</v>
      </c>
      <c r="D766" s="22">
        <v>1</v>
      </c>
      <c r="E766" s="23">
        <f t="shared" si="254"/>
        <v>10</v>
      </c>
      <c r="F766" s="23">
        <f t="shared" si="255"/>
        <v>128</v>
      </c>
      <c r="G766" s="25">
        <f t="shared" si="256"/>
        <v>7.8125E-2</v>
      </c>
      <c r="H766" s="22">
        <f>G766*$O$1030</f>
        <v>0</v>
      </c>
    </row>
    <row r="767" spans="1:8" ht="15.75" x14ac:dyDescent="0.45">
      <c r="A767" s="18"/>
      <c r="B767" s="18"/>
      <c r="C767" s="21" t="s">
        <v>61</v>
      </c>
      <c r="D767" s="22">
        <v>0.5</v>
      </c>
      <c r="E767" s="23">
        <f t="shared" si="254"/>
        <v>10</v>
      </c>
      <c r="F767" s="23">
        <f t="shared" si="255"/>
        <v>128</v>
      </c>
      <c r="G767" s="25">
        <f t="shared" si="256"/>
        <v>3.90625E-2</v>
      </c>
      <c r="H767" s="22">
        <f>G767*$O$1027</f>
        <v>0</v>
      </c>
    </row>
    <row r="768" spans="1:8" ht="63" x14ac:dyDescent="0.45">
      <c r="A768" s="26"/>
      <c r="B768" s="26"/>
      <c r="C768" s="21" t="s">
        <v>233</v>
      </c>
      <c r="D768" s="22">
        <v>1</v>
      </c>
      <c r="E768" s="23">
        <f t="shared" si="254"/>
        <v>10</v>
      </c>
      <c r="F768" s="23">
        <f t="shared" si="255"/>
        <v>128</v>
      </c>
      <c r="G768" s="25">
        <f t="shared" si="256"/>
        <v>7.8125E-2</v>
      </c>
      <c r="H768" s="22">
        <f>G768*$O$1038</f>
        <v>0</v>
      </c>
    </row>
    <row r="769" spans="1:8" ht="15.75" x14ac:dyDescent="0.45">
      <c r="A769" s="1"/>
      <c r="B769" s="1"/>
      <c r="C769" s="1"/>
      <c r="D769" s="1"/>
      <c r="E769" s="1"/>
      <c r="F769" s="1"/>
      <c r="G769" s="1"/>
      <c r="H769" s="1"/>
    </row>
    <row r="770" spans="1:8" ht="31.5" x14ac:dyDescent="0.45">
      <c r="A770" s="10" t="s">
        <v>234</v>
      </c>
      <c r="B770" s="10" t="s">
        <v>22</v>
      </c>
      <c r="C770" s="87" t="s">
        <v>11</v>
      </c>
      <c r="D770" s="88">
        <v>2</v>
      </c>
      <c r="E770" s="89">
        <v>10</v>
      </c>
      <c r="F770" s="89">
        <f>20*0.35</f>
        <v>7</v>
      </c>
      <c r="G770" s="16">
        <f>(D770+D771+D772)*E770/F770</f>
        <v>4.2857142857142856</v>
      </c>
      <c r="H770" s="17">
        <f>G770*$K$3</f>
        <v>62.142857142857139</v>
      </c>
    </row>
    <row r="771" spans="1:8" ht="15.75" x14ac:dyDescent="0.45">
      <c r="A771" s="18"/>
      <c r="B771" s="18"/>
      <c r="C771" s="87" t="s">
        <v>48</v>
      </c>
      <c r="D771" s="88">
        <v>0</v>
      </c>
      <c r="E771" s="90"/>
      <c r="F771" s="90"/>
      <c r="G771" s="16"/>
      <c r="H771" s="89">
        <f t="shared" ref="H771:H772" si="257">G771*$N$2</f>
        <v>0</v>
      </c>
    </row>
    <row r="772" spans="1:8" ht="15.75" x14ac:dyDescent="0.45">
      <c r="A772" s="18"/>
      <c r="B772" s="18"/>
      <c r="C772" s="87" t="s">
        <v>139</v>
      </c>
      <c r="D772" s="88">
        <v>1</v>
      </c>
      <c r="E772" s="91"/>
      <c r="F772" s="91"/>
      <c r="G772" s="16"/>
      <c r="H772" s="89">
        <f t="shared" si="257"/>
        <v>0</v>
      </c>
    </row>
    <row r="773" spans="1:8" ht="15.75" x14ac:dyDescent="0.45">
      <c r="A773" s="18"/>
      <c r="B773" s="18"/>
      <c r="C773" s="21" t="s">
        <v>60</v>
      </c>
      <c r="D773" s="22">
        <v>0.2</v>
      </c>
      <c r="E773" s="22">
        <f t="shared" ref="E773:F773" si="258">E770</f>
        <v>10</v>
      </c>
      <c r="F773" s="22">
        <f t="shared" si="258"/>
        <v>7</v>
      </c>
      <c r="G773" s="22">
        <f t="shared" ref="G773:G774" si="259">D773*E773/F773</f>
        <v>0.2857142857142857</v>
      </c>
      <c r="H773" s="22">
        <f>G773*$O$1039</f>
        <v>0</v>
      </c>
    </row>
    <row r="774" spans="1:8" ht="15.75" x14ac:dyDescent="0.45">
      <c r="A774" s="26"/>
      <c r="B774" s="26"/>
      <c r="C774" s="21" t="s">
        <v>235</v>
      </c>
      <c r="D774" s="22">
        <v>0.1</v>
      </c>
      <c r="E774" s="22">
        <f t="shared" ref="E774:F774" si="260">E770</f>
        <v>10</v>
      </c>
      <c r="F774" s="22">
        <f t="shared" si="260"/>
        <v>7</v>
      </c>
      <c r="G774" s="22">
        <f t="shared" si="259"/>
        <v>0.14285714285714285</v>
      </c>
      <c r="H774" s="22">
        <f>G774*$O$1034</f>
        <v>0</v>
      </c>
    </row>
    <row r="775" spans="1:8" ht="15.75" x14ac:dyDescent="0.45">
      <c r="A775" s="1"/>
      <c r="B775" s="1"/>
      <c r="C775" s="1"/>
      <c r="D775" s="1"/>
      <c r="E775" s="1"/>
      <c r="F775" s="1"/>
      <c r="G775" s="1"/>
      <c r="H775" s="1"/>
    </row>
    <row r="776" spans="1:8" ht="31.5" x14ac:dyDescent="0.45">
      <c r="A776" s="10" t="s">
        <v>236</v>
      </c>
      <c r="B776" s="10" t="s">
        <v>22</v>
      </c>
      <c r="C776" s="87" t="s">
        <v>11</v>
      </c>
      <c r="D776" s="88">
        <v>2</v>
      </c>
      <c r="E776" s="89">
        <v>10</v>
      </c>
      <c r="F776" s="89">
        <f>20*0.45</f>
        <v>9</v>
      </c>
      <c r="G776" s="16">
        <f>(D776+D777+D778)*E776/F776</f>
        <v>3.3333333333333335</v>
      </c>
      <c r="H776" s="17">
        <f>G776*$K$3</f>
        <v>48.333333333333336</v>
      </c>
    </row>
    <row r="777" spans="1:8" ht="15.75" x14ac:dyDescent="0.45">
      <c r="A777" s="18"/>
      <c r="B777" s="18"/>
      <c r="C777" s="87" t="s">
        <v>48</v>
      </c>
      <c r="D777" s="88">
        <v>0</v>
      </c>
      <c r="E777" s="90"/>
      <c r="F777" s="90"/>
      <c r="G777" s="16"/>
      <c r="H777" s="89">
        <f t="shared" ref="H777:H778" si="261">G777*$N$2</f>
        <v>0</v>
      </c>
    </row>
    <row r="778" spans="1:8" ht="15.75" x14ac:dyDescent="0.45">
      <c r="A778" s="18"/>
      <c r="B778" s="18"/>
      <c r="C778" s="87" t="s">
        <v>139</v>
      </c>
      <c r="D778" s="88">
        <v>1</v>
      </c>
      <c r="E778" s="91"/>
      <c r="F778" s="91"/>
      <c r="G778" s="16"/>
      <c r="H778" s="89">
        <f t="shared" si="261"/>
        <v>0</v>
      </c>
    </row>
    <row r="779" spans="1:8" ht="15.75" x14ac:dyDescent="0.45">
      <c r="A779" s="18"/>
      <c r="B779" s="18"/>
      <c r="C779" s="21" t="s">
        <v>60</v>
      </c>
      <c r="D779" s="22">
        <v>0.2</v>
      </c>
      <c r="E779" s="22">
        <f t="shared" ref="E779:F779" si="262">E776</f>
        <v>10</v>
      </c>
      <c r="F779" s="22">
        <f t="shared" si="262"/>
        <v>9</v>
      </c>
      <c r="G779" s="22">
        <f t="shared" ref="G779:G780" si="263">D779*E779/F779</f>
        <v>0.22222222222222221</v>
      </c>
      <c r="H779" s="22">
        <f>G779*$O$1039</f>
        <v>0</v>
      </c>
    </row>
    <row r="780" spans="1:8" ht="15.75" x14ac:dyDescent="0.45">
      <c r="A780" s="26"/>
      <c r="B780" s="26"/>
      <c r="C780" s="21" t="s">
        <v>235</v>
      </c>
      <c r="D780" s="22">
        <v>0.1</v>
      </c>
      <c r="E780" s="22">
        <f t="shared" ref="E780:F780" si="264">E776</f>
        <v>10</v>
      </c>
      <c r="F780" s="22">
        <f t="shared" si="264"/>
        <v>9</v>
      </c>
      <c r="G780" s="22">
        <f t="shared" si="263"/>
        <v>0.1111111111111111</v>
      </c>
      <c r="H780" s="22">
        <f>G780*$O$1034</f>
        <v>0</v>
      </c>
    </row>
    <row r="781" spans="1:8" ht="15.75" x14ac:dyDescent="0.45">
      <c r="A781" s="1"/>
      <c r="B781" s="1"/>
      <c r="C781" s="1"/>
      <c r="D781" s="1"/>
      <c r="E781" s="1"/>
      <c r="F781" s="1"/>
      <c r="G781" s="1"/>
      <c r="H781" s="1"/>
    </row>
    <row r="782" spans="1:8" ht="31.5" x14ac:dyDescent="0.45">
      <c r="A782" s="10" t="s">
        <v>237</v>
      </c>
      <c r="B782" s="10" t="s">
        <v>22</v>
      </c>
      <c r="C782" s="87" t="s">
        <v>11</v>
      </c>
      <c r="D782" s="88">
        <v>2</v>
      </c>
      <c r="E782" s="89">
        <v>10</v>
      </c>
      <c r="F782" s="89">
        <v>6</v>
      </c>
      <c r="G782" s="92">
        <f>(D782+D783+D784)*E782/F782</f>
        <v>5</v>
      </c>
      <c r="H782" s="17">
        <f>G782*$K$3</f>
        <v>72.5</v>
      </c>
    </row>
    <row r="783" spans="1:8" ht="15.75" x14ac:dyDescent="0.45">
      <c r="A783" s="18"/>
      <c r="B783" s="18"/>
      <c r="C783" s="87" t="s">
        <v>48</v>
      </c>
      <c r="D783" s="88">
        <v>0</v>
      </c>
      <c r="E783" s="90"/>
      <c r="F783" s="90"/>
      <c r="G783" s="16"/>
      <c r="H783" s="89">
        <f t="shared" ref="H783:H784" si="265">G783*$N$2</f>
        <v>0</v>
      </c>
    </row>
    <row r="784" spans="1:8" ht="15.75" x14ac:dyDescent="0.45">
      <c r="A784" s="18"/>
      <c r="B784" s="18"/>
      <c r="C784" s="87" t="s">
        <v>139</v>
      </c>
      <c r="D784" s="88">
        <v>1</v>
      </c>
      <c r="E784" s="91"/>
      <c r="F784" s="91"/>
      <c r="G784" s="16"/>
      <c r="H784" s="89">
        <f t="shared" si="265"/>
        <v>0</v>
      </c>
    </row>
    <row r="785" spans="1:8" ht="15.75" x14ac:dyDescent="0.45">
      <c r="A785" s="18"/>
      <c r="B785" s="18"/>
      <c r="C785" s="21" t="s">
        <v>60</v>
      </c>
      <c r="D785" s="22">
        <v>0.1</v>
      </c>
      <c r="E785" s="22">
        <f>E782</f>
        <v>10</v>
      </c>
      <c r="F785" s="22">
        <v>10</v>
      </c>
      <c r="G785" s="25">
        <f>D785*E785/F785</f>
        <v>0.1</v>
      </c>
      <c r="H785" s="22">
        <f>G785*$O$1039</f>
        <v>0</v>
      </c>
    </row>
    <row r="786" spans="1:8" ht="15.75" x14ac:dyDescent="0.45">
      <c r="A786" s="26"/>
      <c r="B786" s="26"/>
      <c r="C786" s="21" t="s">
        <v>235</v>
      </c>
      <c r="D786" s="22">
        <f>D785</f>
        <v>0.1</v>
      </c>
      <c r="E786" s="22">
        <f>E782</f>
        <v>10</v>
      </c>
      <c r="F786" s="93">
        <f>F785</f>
        <v>10</v>
      </c>
      <c r="G786" s="25">
        <f>D786*E786/F786</f>
        <v>0.1</v>
      </c>
      <c r="H786" s="22">
        <f>G786*$O$1034</f>
        <v>0</v>
      </c>
    </row>
    <row r="787" spans="1:8" ht="15.75" x14ac:dyDescent="0.45">
      <c r="A787" s="1"/>
      <c r="B787" s="1"/>
      <c r="C787" s="1"/>
      <c r="D787" s="1"/>
      <c r="E787" s="1"/>
      <c r="F787" s="1"/>
      <c r="G787" s="1"/>
      <c r="H787" s="1"/>
    </row>
    <row r="788" spans="1:8" ht="31.5" x14ac:dyDescent="0.45">
      <c r="A788" s="10" t="s">
        <v>238</v>
      </c>
      <c r="B788" s="10" t="s">
        <v>153</v>
      </c>
      <c r="C788" s="87" t="s">
        <v>11</v>
      </c>
      <c r="D788" s="88">
        <v>2</v>
      </c>
      <c r="E788" s="89">
        <v>10</v>
      </c>
      <c r="F788" s="89">
        <v>15</v>
      </c>
      <c r="G788" s="92">
        <f>(D788+D789+D790)*E788/F788</f>
        <v>2</v>
      </c>
      <c r="H788" s="17">
        <f>G788*$K$3</f>
        <v>29</v>
      </c>
    </row>
    <row r="789" spans="1:8" ht="15.75" x14ac:dyDescent="0.45">
      <c r="A789" s="18"/>
      <c r="B789" s="18"/>
      <c r="C789" s="87" t="s">
        <v>48</v>
      </c>
      <c r="D789" s="88"/>
      <c r="E789" s="90"/>
      <c r="F789" s="90"/>
      <c r="G789" s="16"/>
      <c r="H789" s="89"/>
    </row>
    <row r="790" spans="1:8" ht="15.75" x14ac:dyDescent="0.45">
      <c r="A790" s="18"/>
      <c r="B790" s="18"/>
      <c r="C790" s="87" t="s">
        <v>139</v>
      </c>
      <c r="D790" s="88">
        <v>1</v>
      </c>
      <c r="E790" s="91"/>
      <c r="F790" s="91"/>
      <c r="G790" s="16"/>
      <c r="H790" s="89"/>
    </row>
    <row r="791" spans="1:8" ht="15.75" x14ac:dyDescent="0.45">
      <c r="A791" s="18"/>
      <c r="B791" s="18"/>
      <c r="C791" s="21" t="s">
        <v>60</v>
      </c>
      <c r="D791" s="22">
        <v>0.2</v>
      </c>
      <c r="E791" s="22">
        <f>E788</f>
        <v>10</v>
      </c>
      <c r="F791" s="22">
        <f>F788</f>
        <v>15</v>
      </c>
      <c r="G791" s="25">
        <f t="shared" ref="G791" si="266">D791*E791/F791</f>
        <v>0.13333333333333333</v>
      </c>
      <c r="H791" s="22">
        <f>G791*$O$1039</f>
        <v>0</v>
      </c>
    </row>
    <row r="792" spans="1:8" ht="15.75" x14ac:dyDescent="0.45">
      <c r="A792" s="26"/>
      <c r="B792" s="26"/>
      <c r="C792" s="21" t="s">
        <v>235</v>
      </c>
      <c r="D792" s="22">
        <f>D791</f>
        <v>0.2</v>
      </c>
      <c r="E792" s="22">
        <f>E788</f>
        <v>10</v>
      </c>
      <c r="F792" s="93">
        <f>F791</f>
        <v>15</v>
      </c>
      <c r="G792" s="25">
        <f>D792*E792/F792</f>
        <v>0.13333333333333333</v>
      </c>
      <c r="H792" s="22">
        <f>G792*$O$1034</f>
        <v>0</v>
      </c>
    </row>
    <row r="793" spans="1:8" ht="15.75" x14ac:dyDescent="0.45">
      <c r="A793" s="1"/>
      <c r="B793" s="1"/>
      <c r="C793" s="1"/>
      <c r="D793" s="1"/>
      <c r="E793" s="1"/>
      <c r="F793" s="1"/>
      <c r="G793" s="1"/>
      <c r="H793" s="1"/>
    </row>
    <row r="794" spans="1:8" ht="31.5" x14ac:dyDescent="0.45">
      <c r="A794" s="10" t="s">
        <v>239</v>
      </c>
      <c r="B794" s="10" t="s">
        <v>155</v>
      </c>
      <c r="C794" s="12" t="s">
        <v>11</v>
      </c>
      <c r="D794" s="13">
        <v>4</v>
      </c>
      <c r="E794" s="13">
        <v>10</v>
      </c>
      <c r="F794" s="13">
        <v>4</v>
      </c>
      <c r="G794" s="16">
        <f>(D794+D795)*E794/F794</f>
        <v>10</v>
      </c>
      <c r="H794" s="17">
        <f>G794*$K$3</f>
        <v>145</v>
      </c>
    </row>
    <row r="795" spans="1:8" ht="15.75" x14ac:dyDescent="0.45">
      <c r="A795" s="18"/>
      <c r="B795" s="18"/>
      <c r="C795" s="12" t="s">
        <v>139</v>
      </c>
      <c r="D795" s="13"/>
      <c r="E795" s="13"/>
      <c r="F795" s="13"/>
      <c r="G795" s="31"/>
      <c r="H795" s="32"/>
    </row>
    <row r="796" spans="1:8" ht="47.25" x14ac:dyDescent="0.45">
      <c r="A796" s="18"/>
      <c r="B796" s="18"/>
      <c r="C796" s="21" t="s">
        <v>36</v>
      </c>
      <c r="D796" s="22">
        <v>0.4</v>
      </c>
      <c r="E796" s="22">
        <f t="shared" ref="E796:F796" si="267">E794</f>
        <v>10</v>
      </c>
      <c r="F796" s="22">
        <f t="shared" si="267"/>
        <v>4</v>
      </c>
      <c r="G796" s="25">
        <f t="shared" ref="G796:G797" si="268">D796*E796/F796</f>
        <v>1</v>
      </c>
      <c r="H796" s="22">
        <f>G796*$O$1029</f>
        <v>0</v>
      </c>
    </row>
    <row r="797" spans="1:8" ht="31.5" x14ac:dyDescent="0.45">
      <c r="A797" s="26"/>
      <c r="B797" s="26"/>
      <c r="C797" s="21" t="s">
        <v>43</v>
      </c>
      <c r="D797" s="22">
        <v>0</v>
      </c>
      <c r="E797" s="22">
        <f t="shared" ref="E797:F797" si="269">E794</f>
        <v>10</v>
      </c>
      <c r="F797" s="22">
        <f t="shared" si="269"/>
        <v>4</v>
      </c>
      <c r="G797" s="25">
        <f t="shared" si="268"/>
        <v>0</v>
      </c>
      <c r="H797" s="22">
        <f>G797*$O$1030</f>
        <v>0</v>
      </c>
    </row>
    <row r="798" spans="1:8" ht="15.75" x14ac:dyDescent="0.45">
      <c r="A798" s="1"/>
      <c r="B798" s="1"/>
      <c r="C798" s="1"/>
      <c r="D798" s="1"/>
      <c r="E798" s="1"/>
      <c r="F798" s="1"/>
      <c r="G798" s="1"/>
      <c r="H798" s="1"/>
    </row>
    <row r="799" spans="1:8" ht="31.5" x14ac:dyDescent="0.45">
      <c r="A799" s="10" t="s">
        <v>240</v>
      </c>
      <c r="B799" s="10" t="s">
        <v>241</v>
      </c>
      <c r="C799" s="12" t="s">
        <v>11</v>
      </c>
      <c r="D799" s="13">
        <v>4</v>
      </c>
      <c r="E799" s="13">
        <v>10</v>
      </c>
      <c r="F799" s="13">
        <v>10</v>
      </c>
      <c r="G799" s="16">
        <f>(D799+D800)*E799/F799</f>
        <v>5</v>
      </c>
      <c r="H799" s="17">
        <f>G799*$K$3</f>
        <v>72.5</v>
      </c>
    </row>
    <row r="800" spans="1:8" ht="15.75" x14ac:dyDescent="0.45">
      <c r="A800" s="18"/>
      <c r="B800" s="18"/>
      <c r="C800" s="12" t="s">
        <v>139</v>
      </c>
      <c r="D800" s="13">
        <v>1</v>
      </c>
      <c r="E800" s="13"/>
      <c r="F800" s="13"/>
      <c r="G800" s="31"/>
      <c r="H800" s="32"/>
    </row>
    <row r="801" spans="1:8" ht="15.75" x14ac:dyDescent="0.45">
      <c r="A801" s="18"/>
      <c r="B801" s="18"/>
      <c r="C801" s="21" t="s">
        <v>60</v>
      </c>
      <c r="D801" s="22">
        <v>0.5</v>
      </c>
      <c r="E801" s="22">
        <f t="shared" ref="E801:F801" si="270">E799</f>
        <v>10</v>
      </c>
      <c r="F801" s="22">
        <f t="shared" si="270"/>
        <v>10</v>
      </c>
      <c r="G801" s="25">
        <f t="shared" ref="G801:G803" si="271">D801*E801/F801</f>
        <v>0.5</v>
      </c>
      <c r="H801" s="22">
        <f>G801*$O$1039</f>
        <v>0</v>
      </c>
    </row>
    <row r="802" spans="1:8" ht="31.5" x14ac:dyDescent="0.45">
      <c r="A802" s="18"/>
      <c r="B802" s="18"/>
      <c r="C802" s="21" t="s">
        <v>242</v>
      </c>
      <c r="D802" s="22">
        <v>0.5</v>
      </c>
      <c r="E802" s="22">
        <f>E801</f>
        <v>10</v>
      </c>
      <c r="F802" s="22">
        <f>$F$799</f>
        <v>10</v>
      </c>
      <c r="G802" s="25">
        <f t="shared" si="271"/>
        <v>0.5</v>
      </c>
      <c r="H802" s="22">
        <f>G802*$O$1031</f>
        <v>0</v>
      </c>
    </row>
    <row r="803" spans="1:8" ht="31.5" x14ac:dyDescent="0.45">
      <c r="A803" s="26"/>
      <c r="B803" s="26"/>
      <c r="C803" s="21" t="s">
        <v>43</v>
      </c>
      <c r="D803" s="22">
        <v>0.5</v>
      </c>
      <c r="E803" s="22">
        <f t="shared" ref="E803:F803" si="272">E799</f>
        <v>10</v>
      </c>
      <c r="F803" s="22">
        <f t="shared" si="272"/>
        <v>10</v>
      </c>
      <c r="G803" s="25">
        <f t="shared" si="271"/>
        <v>0.5</v>
      </c>
      <c r="H803" s="22">
        <f>G803*$O$1030</f>
        <v>0</v>
      </c>
    </row>
    <row r="804" spans="1:8" ht="15.75" x14ac:dyDescent="0.45">
      <c r="A804" s="1"/>
      <c r="B804" s="67"/>
      <c r="C804" s="67"/>
      <c r="D804" s="67"/>
      <c r="E804" s="67"/>
      <c r="F804" s="67"/>
      <c r="G804" s="67"/>
      <c r="H804" s="67"/>
    </row>
    <row r="805" spans="1:8" ht="31.5" x14ac:dyDescent="0.45">
      <c r="A805" s="10" t="s">
        <v>243</v>
      </c>
      <c r="B805" s="10" t="s">
        <v>244</v>
      </c>
      <c r="C805" s="12" t="s">
        <v>11</v>
      </c>
      <c r="D805" s="13">
        <v>1</v>
      </c>
      <c r="E805" s="13">
        <v>10</v>
      </c>
      <c r="F805" s="13">
        <v>100</v>
      </c>
      <c r="G805" s="92">
        <f>(D805+D806)*E805/F805</f>
        <v>0.2</v>
      </c>
      <c r="H805" s="17">
        <f>G805*$K$3</f>
        <v>2.9000000000000004</v>
      </c>
    </row>
    <row r="806" spans="1:8" ht="15.75" x14ac:dyDescent="0.45">
      <c r="A806" s="18"/>
      <c r="B806" s="18"/>
      <c r="C806" s="12" t="s">
        <v>139</v>
      </c>
      <c r="D806" s="13">
        <v>1</v>
      </c>
      <c r="E806" s="13"/>
      <c r="F806" s="13"/>
      <c r="G806" s="31"/>
      <c r="H806" s="32"/>
    </row>
    <row r="807" spans="1:8" ht="15.75" x14ac:dyDescent="0.45">
      <c r="A807" s="18"/>
      <c r="B807" s="18"/>
      <c r="C807" s="21" t="s">
        <v>60</v>
      </c>
      <c r="D807" s="22">
        <v>0.5</v>
      </c>
      <c r="E807" s="22">
        <f t="shared" ref="E807" si="273">E805</f>
        <v>10</v>
      </c>
      <c r="F807" s="93">
        <v>2000</v>
      </c>
      <c r="G807" s="25">
        <f t="shared" ref="G807:G808" si="274">D807*E807/F807</f>
        <v>2.5000000000000001E-3</v>
      </c>
      <c r="H807" s="22">
        <f>G807*$O$1039</f>
        <v>0</v>
      </c>
    </row>
    <row r="808" spans="1:8" ht="15.75" x14ac:dyDescent="0.45">
      <c r="A808" s="26"/>
      <c r="B808" s="26"/>
      <c r="C808" s="21" t="s">
        <v>235</v>
      </c>
      <c r="D808" s="22">
        <f>D807</f>
        <v>0.5</v>
      </c>
      <c r="E808" s="22">
        <f t="shared" ref="E808" si="275">E805</f>
        <v>10</v>
      </c>
      <c r="F808" s="93">
        <f>F807</f>
        <v>2000</v>
      </c>
      <c r="G808" s="25">
        <f t="shared" si="274"/>
        <v>2.5000000000000001E-3</v>
      </c>
      <c r="H808" s="22">
        <f>G808*$O$1034</f>
        <v>0</v>
      </c>
    </row>
    <row r="809" spans="1:8" ht="15.75" x14ac:dyDescent="0.45">
      <c r="A809" s="1"/>
      <c r="B809" s="1"/>
      <c r="C809" s="1"/>
      <c r="D809" s="1"/>
      <c r="E809" s="1"/>
      <c r="F809" s="1"/>
      <c r="G809" s="1"/>
      <c r="H809" s="1"/>
    </row>
    <row r="810" spans="1:8" ht="31.5" x14ac:dyDescent="0.45">
      <c r="A810" s="10" t="s">
        <v>245</v>
      </c>
      <c r="B810" s="10" t="s">
        <v>155</v>
      </c>
      <c r="C810" s="12" t="s">
        <v>11</v>
      </c>
      <c r="D810" s="13">
        <v>3</v>
      </c>
      <c r="E810" s="13">
        <v>10</v>
      </c>
      <c r="F810" s="13">
        <v>40</v>
      </c>
      <c r="G810" s="92">
        <f>(D810+D811)*E810/F810</f>
        <v>1.25</v>
      </c>
      <c r="H810" s="17">
        <f>G810*$K$3</f>
        <v>18.125</v>
      </c>
    </row>
    <row r="811" spans="1:8" ht="15.75" x14ac:dyDescent="0.45">
      <c r="A811" s="18"/>
      <c r="B811" s="18"/>
      <c r="C811" s="12" t="s">
        <v>139</v>
      </c>
      <c r="D811" s="13">
        <v>2</v>
      </c>
      <c r="E811" s="13"/>
      <c r="F811" s="13"/>
      <c r="G811" s="31"/>
      <c r="H811" s="32"/>
    </row>
    <row r="812" spans="1:8" ht="15.75" x14ac:dyDescent="0.45">
      <c r="A812" s="18"/>
      <c r="B812" s="18"/>
      <c r="C812" s="21" t="s">
        <v>60</v>
      </c>
      <c r="D812" s="22">
        <v>1</v>
      </c>
      <c r="E812" s="22">
        <f t="shared" ref="E812" si="276">E810</f>
        <v>10</v>
      </c>
      <c r="F812" s="93">
        <v>200</v>
      </c>
      <c r="G812" s="25">
        <f t="shared" ref="G812:G813" si="277">D812*E812/F812</f>
        <v>0.05</v>
      </c>
      <c r="H812" s="22">
        <f>G812*$O$1039</f>
        <v>0</v>
      </c>
    </row>
    <row r="813" spans="1:8" ht="15.75" x14ac:dyDescent="0.45">
      <c r="A813" s="26"/>
      <c r="B813" s="26"/>
      <c r="C813" s="21" t="s">
        <v>235</v>
      </c>
      <c r="D813" s="22">
        <v>2</v>
      </c>
      <c r="E813" s="22">
        <f t="shared" ref="E813" si="278">E810</f>
        <v>10</v>
      </c>
      <c r="F813" s="93">
        <f>F812</f>
        <v>200</v>
      </c>
      <c r="G813" s="25">
        <f t="shared" si="277"/>
        <v>0.1</v>
      </c>
      <c r="H813" s="22">
        <f>G813*$O$1034</f>
        <v>0</v>
      </c>
    </row>
    <row r="814" spans="1:8" ht="15.75" x14ac:dyDescent="0.45">
      <c r="A814" s="1"/>
      <c r="B814" s="1"/>
      <c r="C814" s="1"/>
      <c r="D814" s="1"/>
      <c r="E814" s="1"/>
      <c r="F814" s="1"/>
      <c r="G814" s="1"/>
      <c r="H814" s="1"/>
    </row>
    <row r="815" spans="1:8" ht="15.75" x14ac:dyDescent="0.45">
      <c r="A815" s="1"/>
      <c r="B815" s="67"/>
      <c r="C815" s="67"/>
      <c r="D815" s="67"/>
      <c r="E815" s="67"/>
      <c r="F815" s="67"/>
      <c r="G815" s="67"/>
      <c r="H815" s="67"/>
    </row>
    <row r="816" spans="1:8" ht="63" x14ac:dyDescent="0.45">
      <c r="A816" s="94" t="s">
        <v>246</v>
      </c>
      <c r="B816" s="95"/>
      <c r="C816" s="95"/>
      <c r="D816" s="95"/>
      <c r="E816" s="95"/>
      <c r="F816" s="95"/>
      <c r="G816" s="95"/>
      <c r="H816" s="95"/>
    </row>
    <row r="817" spans="1:16" ht="47.65" thickBot="1" x14ac:dyDescent="0.5">
      <c r="A817" s="40" t="s">
        <v>1</v>
      </c>
      <c r="B817" s="40" t="s">
        <v>2</v>
      </c>
      <c r="C817" s="6" t="s">
        <v>3</v>
      </c>
      <c r="D817" s="7"/>
      <c r="E817" s="40" t="s">
        <v>4</v>
      </c>
      <c r="F817" s="40" t="s">
        <v>247</v>
      </c>
      <c r="G817" s="96" t="s">
        <v>248</v>
      </c>
      <c r="H817" s="97"/>
    </row>
    <row r="818" spans="1:16" ht="31.5" x14ac:dyDescent="0.45">
      <c r="A818" s="10" t="s">
        <v>249</v>
      </c>
      <c r="B818" s="11" t="s">
        <v>101</v>
      </c>
      <c r="C818" s="12" t="s">
        <v>10</v>
      </c>
      <c r="D818" s="13">
        <v>1</v>
      </c>
      <c r="E818" s="98">
        <v>10</v>
      </c>
      <c r="F818" s="98">
        <f>M820/P819</f>
        <v>62.745098039215677</v>
      </c>
      <c r="G818" s="16">
        <f>(D818+D819)*E818/F818</f>
        <v>0.31875000000000003</v>
      </c>
      <c r="H818" s="17">
        <f>G818*$K$3</f>
        <v>4.6218750000000002</v>
      </c>
      <c r="L818" s="127" t="s">
        <v>301</v>
      </c>
      <c r="M818" s="128" t="s">
        <v>302</v>
      </c>
      <c r="N818" s="129" t="s">
        <v>303</v>
      </c>
      <c r="O818" s="129" t="s">
        <v>304</v>
      </c>
      <c r="P818" s="130" t="s">
        <v>305</v>
      </c>
    </row>
    <row r="819" spans="1:16" ht="31.9" thickBot="1" x14ac:dyDescent="0.5">
      <c r="A819" s="18"/>
      <c r="B819" s="19"/>
      <c r="C819" s="12" t="s">
        <v>11</v>
      </c>
      <c r="D819" s="13">
        <v>1</v>
      </c>
      <c r="E819" s="99"/>
      <c r="F819" s="99"/>
      <c r="G819" s="31"/>
      <c r="H819" s="32"/>
      <c r="L819" s="131"/>
      <c r="M819" s="132">
        <v>0.6</v>
      </c>
      <c r="N819" s="133">
        <f>M819+O819/3</f>
        <v>1.1000000000000001</v>
      </c>
      <c r="O819" s="133">
        <v>1.5</v>
      </c>
      <c r="P819" s="134">
        <f>((M819+N819)/2)*O819</f>
        <v>1.2750000000000001</v>
      </c>
    </row>
    <row r="820" spans="1:16" ht="31.5" x14ac:dyDescent="0.45">
      <c r="A820" s="18"/>
      <c r="B820" s="19"/>
      <c r="C820" s="21" t="s">
        <v>12</v>
      </c>
      <c r="D820" s="22">
        <v>0.2</v>
      </c>
      <c r="E820" s="100">
        <f t="shared" ref="E820:F820" si="279">E818</f>
        <v>10</v>
      </c>
      <c r="F820" s="100">
        <f t="shared" si="279"/>
        <v>62.745098039215677</v>
      </c>
      <c r="G820" s="25">
        <f>D820*E820/F820</f>
        <v>3.1875000000000007E-2</v>
      </c>
      <c r="H820" s="22">
        <f>G820*O$1022</f>
        <v>0</v>
      </c>
      <c r="L820" s="135" t="s">
        <v>306</v>
      </c>
      <c r="M820" s="67">
        <v>80</v>
      </c>
      <c r="N820" s="67"/>
      <c r="O820" s="67"/>
      <c r="P820" s="67"/>
    </row>
    <row r="821" spans="1:16" ht="47.25" x14ac:dyDescent="0.45">
      <c r="A821" s="26"/>
      <c r="B821" s="27"/>
      <c r="C821" s="21" t="s">
        <v>36</v>
      </c>
      <c r="D821" s="22">
        <v>1</v>
      </c>
      <c r="E821" s="101"/>
      <c r="F821" s="101"/>
      <c r="G821" s="25">
        <f>D821*E820/F820</f>
        <v>0.15937500000000002</v>
      </c>
      <c r="H821" s="22">
        <f>G821*$O$1029</f>
        <v>0</v>
      </c>
      <c r="L821" s="136"/>
      <c r="M821" s="67"/>
      <c r="N821" s="67"/>
      <c r="O821" s="67"/>
      <c r="P821" s="67"/>
    </row>
    <row r="822" spans="1:16" ht="15.75" x14ac:dyDescent="0.45">
      <c r="A822" s="43"/>
      <c r="B822" s="19"/>
      <c r="C822" s="1"/>
      <c r="D822" s="44"/>
      <c r="E822" s="44"/>
      <c r="F822" s="44"/>
      <c r="G822" s="45"/>
      <c r="H822" s="44"/>
      <c r="L822" s="67"/>
      <c r="M822" s="67"/>
      <c r="N822" s="67"/>
      <c r="O822" s="67"/>
      <c r="P822" s="67"/>
    </row>
    <row r="823" spans="1:16" ht="31.5" x14ac:dyDescent="0.45">
      <c r="A823" s="10" t="s">
        <v>250</v>
      </c>
      <c r="B823" s="11" t="s">
        <v>101</v>
      </c>
      <c r="C823" s="12" t="s">
        <v>10</v>
      </c>
      <c r="D823" s="13">
        <v>1</v>
      </c>
      <c r="E823" s="98">
        <f>E818</f>
        <v>10</v>
      </c>
      <c r="F823" s="98">
        <v>90</v>
      </c>
      <c r="G823" s="16">
        <f>(D823+D824)*E823/F823</f>
        <v>0.22222222222222221</v>
      </c>
      <c r="H823" s="17">
        <f>G823*$K$3</f>
        <v>3.2222222222222219</v>
      </c>
    </row>
    <row r="824" spans="1:16" ht="31.5" x14ac:dyDescent="0.45">
      <c r="A824" s="18"/>
      <c r="B824" s="19"/>
      <c r="C824" s="12" t="s">
        <v>11</v>
      </c>
      <c r="D824" s="13">
        <v>1</v>
      </c>
      <c r="E824" s="99"/>
      <c r="F824" s="99"/>
      <c r="G824" s="31"/>
      <c r="H824" s="32"/>
    </row>
    <row r="825" spans="1:16" ht="31.5" x14ac:dyDescent="0.45">
      <c r="A825" s="18"/>
      <c r="B825" s="19"/>
      <c r="C825" s="22" t="s">
        <v>12</v>
      </c>
      <c r="D825" s="22">
        <v>0.2</v>
      </c>
      <c r="E825" s="100">
        <f t="shared" ref="E825:F825" si="280">E823</f>
        <v>10</v>
      </c>
      <c r="F825" s="100">
        <f t="shared" si="280"/>
        <v>90</v>
      </c>
      <c r="G825" s="25">
        <f>D825*E825/F825</f>
        <v>2.2222222222222223E-2</v>
      </c>
      <c r="H825" s="22">
        <f>G825*O$1022</f>
        <v>0</v>
      </c>
    </row>
    <row r="826" spans="1:16" ht="78.75" x14ac:dyDescent="0.45">
      <c r="A826" s="18"/>
      <c r="B826" s="19"/>
      <c r="C826" s="22" t="s">
        <v>13</v>
      </c>
      <c r="D826" s="22">
        <v>0.5</v>
      </c>
      <c r="E826" s="102"/>
      <c r="F826" s="102"/>
      <c r="G826" s="25">
        <f>D826*E825/F825</f>
        <v>5.5555555555555552E-2</v>
      </c>
      <c r="H826" s="22">
        <f>G826*$O$1024</f>
        <v>0</v>
      </c>
    </row>
    <row r="827" spans="1:16" ht="63" x14ac:dyDescent="0.45">
      <c r="A827" s="26"/>
      <c r="B827" s="27"/>
      <c r="C827" s="22" t="s">
        <v>15</v>
      </c>
      <c r="D827" s="22">
        <v>0.5</v>
      </c>
      <c r="E827" s="101"/>
      <c r="F827" s="101"/>
      <c r="G827" s="25">
        <f>D827*E825/F825</f>
        <v>5.5555555555555552E-2</v>
      </c>
      <c r="H827" s="22">
        <f>G827*$O$1025</f>
        <v>0</v>
      </c>
    </row>
    <row r="828" spans="1:16" ht="15.75" x14ac:dyDescent="0.45">
      <c r="A828" s="43"/>
      <c r="B828" s="1"/>
      <c r="C828" s="1"/>
      <c r="D828" s="44"/>
      <c r="E828" s="44"/>
      <c r="F828" s="44"/>
      <c r="G828" s="45"/>
      <c r="H828" s="44"/>
    </row>
    <row r="829" spans="1:16" ht="31.5" x14ac:dyDescent="0.45">
      <c r="A829" s="10" t="s">
        <v>251</v>
      </c>
      <c r="B829" s="11" t="s">
        <v>9</v>
      </c>
      <c r="C829" s="12" t="s">
        <v>11</v>
      </c>
      <c r="D829" s="13">
        <v>4</v>
      </c>
      <c r="E829" s="17">
        <f>E823</f>
        <v>10</v>
      </c>
      <c r="F829" s="16">
        <v>36</v>
      </c>
      <c r="G829" s="16">
        <f>(D829+D830)*E829/F829</f>
        <v>1.3888888888888888</v>
      </c>
      <c r="H829" s="17">
        <f>G829*$K$3</f>
        <v>20.138888888888889</v>
      </c>
    </row>
    <row r="830" spans="1:16" ht="15.75" x14ac:dyDescent="0.45">
      <c r="A830" s="18"/>
      <c r="B830" s="19"/>
      <c r="C830" s="12" t="s">
        <v>48</v>
      </c>
      <c r="D830" s="13">
        <v>1</v>
      </c>
      <c r="E830" s="32"/>
      <c r="F830" s="31"/>
      <c r="G830" s="31"/>
      <c r="H830" s="32"/>
    </row>
    <row r="831" spans="1:16" ht="15.75" x14ac:dyDescent="0.45">
      <c r="A831" s="26"/>
      <c r="B831" s="27"/>
      <c r="C831" s="103" t="s">
        <v>178</v>
      </c>
      <c r="D831" s="22">
        <v>0.1</v>
      </c>
      <c r="E831" s="23">
        <f t="shared" ref="E831:F831" si="281">E829</f>
        <v>10</v>
      </c>
      <c r="F831" s="23">
        <f t="shared" si="281"/>
        <v>36</v>
      </c>
      <c r="G831" s="25">
        <f>D831*E831/F831</f>
        <v>2.7777777777777776E-2</v>
      </c>
      <c r="H831" s="22">
        <f>G831*$O$1029</f>
        <v>0</v>
      </c>
    </row>
    <row r="832" spans="1:16" ht="15.75" x14ac:dyDescent="0.45">
      <c r="A832" s="43"/>
      <c r="B832" s="1"/>
      <c r="C832" s="1"/>
      <c r="D832" s="44"/>
      <c r="E832" s="44"/>
      <c r="F832" s="44"/>
      <c r="G832" s="45"/>
      <c r="H832" s="44"/>
    </row>
    <row r="833" spans="1:8" ht="31.5" x14ac:dyDescent="0.45">
      <c r="A833" s="10" t="s">
        <v>252</v>
      </c>
      <c r="B833" s="10" t="s">
        <v>9</v>
      </c>
      <c r="C833" s="12" t="s">
        <v>10</v>
      </c>
      <c r="D833" s="13">
        <v>1</v>
      </c>
      <c r="E833" s="17">
        <f>E829</f>
        <v>10</v>
      </c>
      <c r="F833" s="98">
        <v>75</v>
      </c>
      <c r="G833" s="16">
        <f>(D833+D834)*E833/F833</f>
        <v>0.53333333333333333</v>
      </c>
      <c r="H833" s="17">
        <f>G833*$K$3</f>
        <v>7.7333333333333334</v>
      </c>
    </row>
    <row r="834" spans="1:8" ht="31.5" x14ac:dyDescent="0.45">
      <c r="A834" s="18"/>
      <c r="B834" s="18"/>
      <c r="C834" s="12" t="s">
        <v>11</v>
      </c>
      <c r="D834" s="13">
        <v>3</v>
      </c>
      <c r="E834" s="32"/>
      <c r="F834" s="99"/>
      <c r="G834" s="31"/>
      <c r="H834" s="32"/>
    </row>
    <row r="835" spans="1:8" ht="63" x14ac:dyDescent="0.45">
      <c r="A835" s="18"/>
      <c r="B835" s="18"/>
      <c r="C835" s="22" t="s">
        <v>253</v>
      </c>
      <c r="D835" s="22">
        <v>1</v>
      </c>
      <c r="E835" s="22">
        <f t="shared" ref="E835:F835" si="282">E833</f>
        <v>10</v>
      </c>
      <c r="F835" s="22">
        <f t="shared" si="282"/>
        <v>75</v>
      </c>
      <c r="G835" s="22">
        <f>D835*E835/F835</f>
        <v>0.13333333333333333</v>
      </c>
      <c r="H835" s="22">
        <f>G835*O$1031</f>
        <v>0</v>
      </c>
    </row>
    <row r="836" spans="1:8" ht="31.5" x14ac:dyDescent="0.45">
      <c r="A836" s="18"/>
      <c r="B836" s="18"/>
      <c r="C836" s="22" t="s">
        <v>12</v>
      </c>
      <c r="D836" s="22">
        <v>0.1</v>
      </c>
      <c r="E836" s="22"/>
      <c r="F836" s="22"/>
      <c r="G836" s="22">
        <f>D836*E835/F835</f>
        <v>1.3333333333333334E-2</v>
      </c>
      <c r="H836" s="22">
        <f>G836*O$1022</f>
        <v>0</v>
      </c>
    </row>
    <row r="837" spans="1:8" ht="31.5" x14ac:dyDescent="0.45">
      <c r="A837" s="26"/>
      <c r="B837" s="26"/>
      <c r="C837" s="22" t="s">
        <v>211</v>
      </c>
      <c r="D837" s="22">
        <v>0</v>
      </c>
      <c r="E837" s="22"/>
      <c r="F837" s="22"/>
      <c r="G837" s="22">
        <f>D837*E835/F835</f>
        <v>0</v>
      </c>
      <c r="H837" s="22">
        <f>G837*$O$1048</f>
        <v>0</v>
      </c>
    </row>
    <row r="838" spans="1:8" ht="15.75" x14ac:dyDescent="0.45">
      <c r="A838" s="43"/>
      <c r="B838" s="1"/>
      <c r="C838" s="1"/>
      <c r="D838" s="44"/>
      <c r="E838" s="44"/>
      <c r="F838" s="44"/>
      <c r="G838" s="45"/>
      <c r="H838" s="44"/>
    </row>
    <row r="839" spans="1:8" ht="31.5" x14ac:dyDescent="0.45">
      <c r="A839" s="10" t="s">
        <v>38</v>
      </c>
      <c r="B839" s="11" t="s">
        <v>9</v>
      </c>
      <c r="C839" s="12" t="s">
        <v>10</v>
      </c>
      <c r="D839" s="13">
        <v>1</v>
      </c>
      <c r="E839" s="14">
        <f>E833</f>
        <v>10</v>
      </c>
      <c r="F839" s="14">
        <f>16*4*2</f>
        <v>128</v>
      </c>
      <c r="G839" s="16">
        <f>(D839+D840)*E839/F839</f>
        <v>0.15625</v>
      </c>
      <c r="H839" s="17">
        <f>G839*$K$3</f>
        <v>2.265625</v>
      </c>
    </row>
    <row r="840" spans="1:8" ht="31.5" x14ac:dyDescent="0.45">
      <c r="A840" s="18"/>
      <c r="B840" s="19"/>
      <c r="C840" s="12" t="s">
        <v>11</v>
      </c>
      <c r="D840" s="13">
        <v>1</v>
      </c>
      <c r="E840" s="98"/>
      <c r="F840" s="98"/>
      <c r="G840" s="31"/>
      <c r="H840" s="32"/>
    </row>
    <row r="841" spans="1:8" ht="63" x14ac:dyDescent="0.45">
      <c r="A841" s="18"/>
      <c r="B841" s="19"/>
      <c r="C841" s="21" t="s">
        <v>39</v>
      </c>
      <c r="D841" s="22">
        <v>2</v>
      </c>
      <c r="E841" s="100">
        <f t="shared" ref="E841:F841" si="283">E839</f>
        <v>10</v>
      </c>
      <c r="F841" s="100">
        <f t="shared" si="283"/>
        <v>128</v>
      </c>
      <c r="G841" s="25">
        <f>D841*E841/F841</f>
        <v>0.15625</v>
      </c>
      <c r="H841" s="22">
        <f>G841*$O$1038</f>
        <v>0</v>
      </c>
    </row>
    <row r="842" spans="1:8" ht="31.5" x14ac:dyDescent="0.45">
      <c r="A842" s="18"/>
      <c r="B842" s="19"/>
      <c r="C842" s="22" t="s">
        <v>12</v>
      </c>
      <c r="D842" s="22">
        <v>0.2</v>
      </c>
      <c r="E842" s="102"/>
      <c r="F842" s="102"/>
      <c r="G842" s="22">
        <f>D842*E841/F841</f>
        <v>1.5625E-2</v>
      </c>
      <c r="H842" s="22">
        <f>G842*O$1022</f>
        <v>0</v>
      </c>
    </row>
    <row r="843" spans="1:8" ht="31.5" x14ac:dyDescent="0.45">
      <c r="A843" s="26"/>
      <c r="B843" s="27"/>
      <c r="C843" s="21" t="s">
        <v>52</v>
      </c>
      <c r="D843" s="22">
        <v>0.5</v>
      </c>
      <c r="E843" s="101"/>
      <c r="F843" s="101"/>
      <c r="G843" s="25">
        <f>D843*E841/F841</f>
        <v>3.90625E-2</v>
      </c>
      <c r="H843" s="22">
        <f>G843*$O$1026</f>
        <v>0</v>
      </c>
    </row>
    <row r="844" spans="1:8" ht="15.75" x14ac:dyDescent="0.45">
      <c r="A844" s="63"/>
      <c r="B844" s="63"/>
      <c r="C844" s="63"/>
      <c r="D844" s="39"/>
      <c r="E844" s="64"/>
      <c r="F844" s="64"/>
      <c r="G844" s="104"/>
      <c r="H844" s="66"/>
    </row>
    <row r="845" spans="1:8" ht="31.5" x14ac:dyDescent="0.45">
      <c r="A845" s="10" t="s">
        <v>254</v>
      </c>
      <c r="B845" s="11" t="s">
        <v>9</v>
      </c>
      <c r="C845" s="12" t="s">
        <v>10</v>
      </c>
      <c r="D845" s="13">
        <v>1</v>
      </c>
      <c r="E845" s="14">
        <v>10</v>
      </c>
      <c r="F845" s="14">
        <v>150</v>
      </c>
      <c r="G845" s="20">
        <f t="shared" ref="G845:G846" si="284">D845*E845/F845</f>
        <v>6.6666666666666666E-2</v>
      </c>
      <c r="H845" s="17">
        <f>G845*$K$3</f>
        <v>0.96666666666666667</v>
      </c>
    </row>
    <row r="846" spans="1:8" ht="31.5" x14ac:dyDescent="0.45">
      <c r="A846" s="18"/>
      <c r="B846" s="19"/>
      <c r="C846" s="22" t="s">
        <v>43</v>
      </c>
      <c r="D846" s="22">
        <v>1</v>
      </c>
      <c r="E846" s="22">
        <f t="shared" ref="E846:F846" si="285">E845</f>
        <v>10</v>
      </c>
      <c r="F846" s="22">
        <f t="shared" si="285"/>
        <v>150</v>
      </c>
      <c r="G846" s="22">
        <f t="shared" si="284"/>
        <v>6.6666666666666666E-2</v>
      </c>
      <c r="H846" s="22">
        <f>G846*$O$1030</f>
        <v>0</v>
      </c>
    </row>
    <row r="847" spans="1:8" ht="31.5" x14ac:dyDescent="0.45">
      <c r="A847" s="26"/>
      <c r="B847" s="27"/>
      <c r="C847" s="22" t="s">
        <v>12</v>
      </c>
      <c r="D847" s="22">
        <v>0.1</v>
      </c>
      <c r="E847" s="22"/>
      <c r="F847" s="22"/>
      <c r="G847" s="22">
        <f>D847*E846/F846</f>
        <v>6.6666666666666671E-3</v>
      </c>
      <c r="H847" s="22">
        <f>G847*O$1022</f>
        <v>0</v>
      </c>
    </row>
    <row r="848" spans="1:8" ht="15.75" x14ac:dyDescent="0.45">
      <c r="A848" s="11"/>
      <c r="B848" s="11"/>
      <c r="C848" s="63"/>
      <c r="D848" s="39"/>
      <c r="E848" s="105"/>
      <c r="F848" s="105"/>
      <c r="G848" s="65"/>
      <c r="H848" s="66"/>
    </row>
    <row r="849" spans="1:8" ht="31.5" x14ac:dyDescent="0.45">
      <c r="A849" s="106" t="s">
        <v>255</v>
      </c>
      <c r="B849" s="11" t="s">
        <v>9</v>
      </c>
      <c r="C849" s="12" t="s">
        <v>10</v>
      </c>
      <c r="D849" s="13">
        <v>1</v>
      </c>
      <c r="E849" s="17">
        <f>E839</f>
        <v>10</v>
      </c>
      <c r="F849" s="98">
        <v>90</v>
      </c>
      <c r="G849" s="16">
        <f>(D849+D850)*E849/F849</f>
        <v>0.33333333333333331</v>
      </c>
      <c r="H849" s="17">
        <f>G849*$K$3</f>
        <v>4.833333333333333</v>
      </c>
    </row>
    <row r="850" spans="1:8" ht="31.5" x14ac:dyDescent="0.45">
      <c r="A850" s="107"/>
      <c r="B850" s="19"/>
      <c r="C850" s="12" t="s">
        <v>11</v>
      </c>
      <c r="D850" s="13">
        <v>2</v>
      </c>
      <c r="E850" s="32"/>
      <c r="F850" s="99"/>
      <c r="G850" s="31"/>
      <c r="H850" s="32"/>
    </row>
    <row r="851" spans="1:8" ht="47.25" x14ac:dyDescent="0.45">
      <c r="A851" s="107"/>
      <c r="B851" s="19"/>
      <c r="C851" s="22" t="str">
        <f>C446</f>
        <v>BACKHOE LOADER</v>
      </c>
      <c r="D851" s="22">
        <v>1</v>
      </c>
      <c r="E851" s="22">
        <f t="shared" ref="E851:F851" si="286">E849</f>
        <v>10</v>
      </c>
      <c r="F851" s="22">
        <f t="shared" si="286"/>
        <v>90</v>
      </c>
      <c r="G851" s="22">
        <f>D851*E851/F851</f>
        <v>0.1111111111111111</v>
      </c>
      <c r="H851" s="22">
        <f>G851*$O$1029</f>
        <v>0</v>
      </c>
    </row>
    <row r="852" spans="1:8" ht="31.5" x14ac:dyDescent="0.45">
      <c r="A852" s="107"/>
      <c r="B852" s="19"/>
      <c r="C852" s="22" t="s">
        <v>12</v>
      </c>
      <c r="D852" s="22">
        <v>0.2</v>
      </c>
      <c r="E852" s="22"/>
      <c r="F852" s="22"/>
      <c r="G852" s="22">
        <f>D852*E851/F851</f>
        <v>2.2222222222222223E-2</v>
      </c>
      <c r="H852" s="22">
        <f>G852*O$1022</f>
        <v>0</v>
      </c>
    </row>
    <row r="853" spans="1:8" ht="31.5" x14ac:dyDescent="0.45">
      <c r="A853" s="108"/>
      <c r="B853" s="27"/>
      <c r="C853" s="22" t="s">
        <v>211</v>
      </c>
      <c r="D853" s="22">
        <v>1</v>
      </c>
      <c r="E853" s="22"/>
      <c r="F853" s="22"/>
      <c r="G853" s="22">
        <f>D853*E851/F851</f>
        <v>0.1111111111111111</v>
      </c>
      <c r="H853" s="22">
        <f>G853*$O$1048</f>
        <v>0</v>
      </c>
    </row>
    <row r="854" spans="1:8" ht="15.75" x14ac:dyDescent="0.45">
      <c r="A854" s="43"/>
      <c r="B854" s="1"/>
      <c r="C854" s="1"/>
      <c r="D854" s="44"/>
      <c r="E854" s="44"/>
      <c r="F854" s="44"/>
      <c r="G854" s="45"/>
      <c r="H854" s="44"/>
    </row>
    <row r="855" spans="1:8" ht="31.5" x14ac:dyDescent="0.45">
      <c r="A855" s="106" t="s">
        <v>256</v>
      </c>
      <c r="B855" s="11" t="s">
        <v>9</v>
      </c>
      <c r="C855" s="12" t="s">
        <v>10</v>
      </c>
      <c r="D855" s="13">
        <v>1</v>
      </c>
      <c r="E855" s="17">
        <f>E849</f>
        <v>10</v>
      </c>
      <c r="F855" s="98">
        <f>18*3</f>
        <v>54</v>
      </c>
      <c r="G855" s="16">
        <f>(D855+D856)*E855/F855</f>
        <v>0.55555555555555558</v>
      </c>
      <c r="H855" s="17">
        <f>G855*$K$3</f>
        <v>8.0555555555555554</v>
      </c>
    </row>
    <row r="856" spans="1:8" ht="31.5" x14ac:dyDescent="0.45">
      <c r="A856" s="107"/>
      <c r="B856" s="19"/>
      <c r="C856" s="12" t="s">
        <v>11</v>
      </c>
      <c r="D856" s="13">
        <v>2</v>
      </c>
      <c r="E856" s="32"/>
      <c r="F856" s="99"/>
      <c r="G856" s="31"/>
      <c r="H856" s="32"/>
    </row>
    <row r="857" spans="1:8" ht="31.5" x14ac:dyDescent="0.45">
      <c r="A857" s="107"/>
      <c r="B857" s="19"/>
      <c r="C857" s="22" t="s">
        <v>43</v>
      </c>
      <c r="D857" s="22">
        <v>1</v>
      </c>
      <c r="E857" s="22">
        <f t="shared" ref="E857:F857" si="287">E855</f>
        <v>10</v>
      </c>
      <c r="F857" s="22">
        <f t="shared" si="287"/>
        <v>54</v>
      </c>
      <c r="G857" s="22">
        <f>D857*E857/F857</f>
        <v>0.18518518518518517</v>
      </c>
      <c r="H857" s="22">
        <f>G857*$O$1030</f>
        <v>0</v>
      </c>
    </row>
    <row r="858" spans="1:8" ht="31.5" x14ac:dyDescent="0.45">
      <c r="A858" s="107"/>
      <c r="B858" s="19"/>
      <c r="C858" s="22" t="s">
        <v>12</v>
      </c>
      <c r="D858" s="22">
        <v>0.1</v>
      </c>
      <c r="E858" s="22"/>
      <c r="F858" s="22"/>
      <c r="G858" s="22">
        <f>D858*E857/F857</f>
        <v>1.8518518518518517E-2</v>
      </c>
      <c r="H858" s="22">
        <f>G858*O$1022</f>
        <v>0</v>
      </c>
    </row>
    <row r="859" spans="1:8" ht="31.5" x14ac:dyDescent="0.45">
      <c r="A859" s="108"/>
      <c r="B859" s="27"/>
      <c r="C859" s="22" t="s">
        <v>211</v>
      </c>
      <c r="D859" s="22">
        <v>1</v>
      </c>
      <c r="E859" s="22"/>
      <c r="F859" s="22"/>
      <c r="G859" s="22">
        <f>D859*E857/F857</f>
        <v>0.18518518518518517</v>
      </c>
      <c r="H859" s="22">
        <f>G859*$O$1048</f>
        <v>0</v>
      </c>
    </row>
    <row r="860" spans="1:8" ht="15.75" x14ac:dyDescent="0.45">
      <c r="A860" s="43"/>
      <c r="B860" s="1"/>
      <c r="C860" s="1"/>
      <c r="D860" s="44"/>
      <c r="E860" s="44"/>
      <c r="F860" s="44"/>
      <c r="G860" s="45"/>
      <c r="H860" s="44"/>
    </row>
    <row r="861" spans="1:8" ht="31.5" x14ac:dyDescent="0.45">
      <c r="A861" s="106" t="s">
        <v>257</v>
      </c>
      <c r="B861" s="11" t="s">
        <v>101</v>
      </c>
      <c r="C861" s="12" t="s">
        <v>11</v>
      </c>
      <c r="D861" s="13">
        <v>3</v>
      </c>
      <c r="E861" s="17">
        <f>E835</f>
        <v>10</v>
      </c>
      <c r="F861" s="17">
        <v>36</v>
      </c>
      <c r="G861" s="16">
        <f>(D861+D862+D863)*E861/F861</f>
        <v>1.25</v>
      </c>
      <c r="H861" s="17">
        <f>G861*$K$3</f>
        <v>18.125</v>
      </c>
    </row>
    <row r="862" spans="1:8" ht="15.75" x14ac:dyDescent="0.45">
      <c r="A862" s="107"/>
      <c r="B862" s="19"/>
      <c r="C862" s="12" t="s">
        <v>48</v>
      </c>
      <c r="D862" s="13">
        <v>1</v>
      </c>
      <c r="E862" s="37"/>
      <c r="F862" s="37"/>
      <c r="G862" s="36"/>
      <c r="H862" s="37"/>
    </row>
    <row r="863" spans="1:8" ht="78.75" x14ac:dyDescent="0.45">
      <c r="A863" s="107"/>
      <c r="B863" s="19"/>
      <c r="C863" s="12" t="s">
        <v>258</v>
      </c>
      <c r="D863" s="13">
        <v>0.5</v>
      </c>
      <c r="E863" s="32"/>
      <c r="F863" s="32"/>
      <c r="G863" s="31"/>
      <c r="H863" s="32"/>
    </row>
    <row r="864" spans="1:8" ht="47.25" x14ac:dyDescent="0.45">
      <c r="A864" s="107"/>
      <c r="B864" s="19"/>
      <c r="C864" s="22" t="s">
        <v>36</v>
      </c>
      <c r="D864" s="22">
        <v>0.3</v>
      </c>
      <c r="E864" s="22">
        <f t="shared" ref="E864:F864" si="288">E861</f>
        <v>10</v>
      </c>
      <c r="F864" s="22">
        <f t="shared" si="288"/>
        <v>36</v>
      </c>
      <c r="G864" s="22">
        <f t="shared" ref="G864:G865" si="289">D864*E864/F864</f>
        <v>8.3333333333333329E-2</v>
      </c>
      <c r="H864" s="22">
        <f>G864*$O$1029</f>
        <v>0</v>
      </c>
    </row>
    <row r="865" spans="1:8" ht="15.75" x14ac:dyDescent="0.45">
      <c r="A865" s="108"/>
      <c r="B865" s="27"/>
      <c r="C865" s="22" t="s">
        <v>49</v>
      </c>
      <c r="D865" s="22">
        <v>0.2</v>
      </c>
      <c r="E865" s="22">
        <f t="shared" ref="E865:F865" si="290">E861</f>
        <v>10</v>
      </c>
      <c r="F865" s="22">
        <f t="shared" si="290"/>
        <v>36</v>
      </c>
      <c r="G865" s="22">
        <f t="shared" si="289"/>
        <v>5.5555555555555552E-2</v>
      </c>
      <c r="H865" s="22">
        <f>G865*$O$1039</f>
        <v>0</v>
      </c>
    </row>
    <row r="866" spans="1:8" ht="15.75" x14ac:dyDescent="0.45">
      <c r="A866" s="43"/>
      <c r="B866" s="1"/>
      <c r="C866" s="1"/>
      <c r="D866" s="44"/>
      <c r="E866" s="44"/>
      <c r="F866" s="44"/>
      <c r="G866" s="45"/>
      <c r="H866" s="44"/>
    </row>
    <row r="867" spans="1:8" ht="31.5" x14ac:dyDescent="0.45">
      <c r="A867" s="106" t="s">
        <v>259</v>
      </c>
      <c r="B867" s="11" t="s">
        <v>101</v>
      </c>
      <c r="C867" s="12" t="s">
        <v>11</v>
      </c>
      <c r="D867" s="13">
        <v>3</v>
      </c>
      <c r="E867" s="17">
        <v>10</v>
      </c>
      <c r="F867" s="17">
        <v>48</v>
      </c>
      <c r="G867" s="16">
        <f>(D867+D868+D869)*E867/F867</f>
        <v>0.9375</v>
      </c>
      <c r="H867" s="17">
        <f>G867*$K$3</f>
        <v>13.59375</v>
      </c>
    </row>
    <row r="868" spans="1:8" ht="15.75" x14ac:dyDescent="0.45">
      <c r="A868" s="107"/>
      <c r="B868" s="19"/>
      <c r="C868" s="12" t="s">
        <v>48</v>
      </c>
      <c r="D868" s="13">
        <v>1</v>
      </c>
      <c r="E868" s="37"/>
      <c r="F868" s="37"/>
      <c r="G868" s="36"/>
      <c r="H868" s="37"/>
    </row>
    <row r="869" spans="1:8" ht="78.75" x14ac:dyDescent="0.45">
      <c r="A869" s="107"/>
      <c r="B869" s="19"/>
      <c r="C869" s="12" t="s">
        <v>258</v>
      </c>
      <c r="D869" s="13">
        <v>0.5</v>
      </c>
      <c r="E869" s="32"/>
      <c r="F869" s="32"/>
      <c r="G869" s="31"/>
      <c r="H869" s="32"/>
    </row>
    <row r="870" spans="1:8" ht="47.25" x14ac:dyDescent="0.45">
      <c r="A870" s="107"/>
      <c r="B870" s="19"/>
      <c r="C870" s="22" t="s">
        <v>36</v>
      </c>
      <c r="D870" s="22">
        <v>0.3</v>
      </c>
      <c r="E870" s="22">
        <f t="shared" ref="E870:F870" si="291">E867</f>
        <v>10</v>
      </c>
      <c r="F870" s="22">
        <f t="shared" si="291"/>
        <v>48</v>
      </c>
      <c r="G870" s="22">
        <f t="shared" ref="G870:G871" si="292">D870*E870/F870</f>
        <v>6.25E-2</v>
      </c>
      <c r="H870" s="22">
        <f>G870*$O$1029</f>
        <v>0</v>
      </c>
    </row>
    <row r="871" spans="1:8" ht="15.75" x14ac:dyDescent="0.45">
      <c r="A871" s="108"/>
      <c r="B871" s="27"/>
      <c r="C871" s="22" t="s">
        <v>49</v>
      </c>
      <c r="D871" s="22">
        <v>0.2</v>
      </c>
      <c r="E871" s="22">
        <f t="shared" ref="E871:F871" si="293">E867</f>
        <v>10</v>
      </c>
      <c r="F871" s="22">
        <f t="shared" si="293"/>
        <v>48</v>
      </c>
      <c r="G871" s="22">
        <f t="shared" si="292"/>
        <v>4.1666666666666664E-2</v>
      </c>
      <c r="H871" s="22">
        <f>G871*$O$1039</f>
        <v>0</v>
      </c>
    </row>
    <row r="872" spans="1:8" ht="15.75" x14ac:dyDescent="0.45">
      <c r="A872" s="43"/>
      <c r="B872" s="1"/>
      <c r="C872" s="1"/>
      <c r="D872" s="44"/>
      <c r="E872" s="44"/>
      <c r="F872" s="44"/>
      <c r="G872" s="45"/>
      <c r="H872" s="44"/>
    </row>
    <row r="873" spans="1:8" ht="31.5" x14ac:dyDescent="0.45">
      <c r="A873" s="106" t="s">
        <v>260</v>
      </c>
      <c r="B873" s="11" t="s">
        <v>101</v>
      </c>
      <c r="C873" s="12" t="s">
        <v>11</v>
      </c>
      <c r="D873" s="13">
        <v>3</v>
      </c>
      <c r="E873" s="17">
        <v>10</v>
      </c>
      <c r="F873" s="17">
        <v>60</v>
      </c>
      <c r="G873" s="16">
        <f>(D873+D874+D875)*E873/F873</f>
        <v>0.75</v>
      </c>
      <c r="H873" s="17">
        <f>G873*$K$3</f>
        <v>10.875</v>
      </c>
    </row>
    <row r="874" spans="1:8" ht="15.75" x14ac:dyDescent="0.45">
      <c r="A874" s="107"/>
      <c r="B874" s="19"/>
      <c r="C874" s="12" t="s">
        <v>48</v>
      </c>
      <c r="D874" s="13">
        <v>1</v>
      </c>
      <c r="E874" s="37"/>
      <c r="F874" s="37"/>
      <c r="G874" s="36"/>
      <c r="H874" s="37"/>
    </row>
    <row r="875" spans="1:8" ht="78.75" x14ac:dyDescent="0.45">
      <c r="A875" s="107"/>
      <c r="B875" s="19"/>
      <c r="C875" s="12" t="s">
        <v>258</v>
      </c>
      <c r="D875" s="13">
        <v>0.5</v>
      </c>
      <c r="E875" s="32"/>
      <c r="F875" s="32"/>
      <c r="G875" s="31"/>
      <c r="H875" s="32"/>
    </row>
    <row r="876" spans="1:8" ht="47.25" x14ac:dyDescent="0.45">
      <c r="A876" s="107"/>
      <c r="B876" s="19"/>
      <c r="C876" s="22" t="s">
        <v>36</v>
      </c>
      <c r="D876" s="22">
        <v>0.1</v>
      </c>
      <c r="E876" s="22">
        <f t="shared" ref="E876:F876" si="294">E873</f>
        <v>10</v>
      </c>
      <c r="F876" s="22">
        <f t="shared" si="294"/>
        <v>60</v>
      </c>
      <c r="G876" s="22">
        <f t="shared" ref="G876:G877" si="295">D876*E876/F876</f>
        <v>1.6666666666666666E-2</v>
      </c>
      <c r="H876" s="22">
        <f>G876*$O$1029</f>
        <v>0</v>
      </c>
    </row>
    <row r="877" spans="1:8" ht="15.75" x14ac:dyDescent="0.45">
      <c r="A877" s="108"/>
      <c r="B877" s="27"/>
      <c r="C877" s="22" t="s">
        <v>49</v>
      </c>
      <c r="D877" s="22">
        <v>0.1</v>
      </c>
      <c r="E877" s="22">
        <f t="shared" ref="E877:F877" si="296">E873</f>
        <v>10</v>
      </c>
      <c r="F877" s="22">
        <f t="shared" si="296"/>
        <v>60</v>
      </c>
      <c r="G877" s="22">
        <f t="shared" si="295"/>
        <v>1.6666666666666666E-2</v>
      </c>
      <c r="H877" s="22">
        <f>G877*$O$1039</f>
        <v>0</v>
      </c>
    </row>
    <row r="878" spans="1:8" ht="15.75" x14ac:dyDescent="0.45">
      <c r="A878" s="43"/>
      <c r="B878" s="1"/>
      <c r="C878" s="1"/>
      <c r="D878" s="44"/>
      <c r="E878" s="44"/>
      <c r="F878" s="44"/>
      <c r="G878" s="45"/>
      <c r="H878" s="44"/>
    </row>
    <row r="879" spans="1:8" ht="31.5" x14ac:dyDescent="0.45">
      <c r="A879" s="106" t="s">
        <v>261</v>
      </c>
      <c r="B879" s="11" t="s">
        <v>101</v>
      </c>
      <c r="C879" s="12" t="s">
        <v>11</v>
      </c>
      <c r="D879" s="13">
        <v>3</v>
      </c>
      <c r="E879" s="17">
        <f>E855</f>
        <v>10</v>
      </c>
      <c r="F879" s="17">
        <v>72</v>
      </c>
      <c r="G879" s="16">
        <f>(D879+D880+D881)*E879/F879</f>
        <v>0.625</v>
      </c>
      <c r="H879" s="17">
        <f>G879*$K$3</f>
        <v>9.0625</v>
      </c>
    </row>
    <row r="880" spans="1:8" ht="15.75" x14ac:dyDescent="0.45">
      <c r="A880" s="107"/>
      <c r="B880" s="19"/>
      <c r="C880" s="12" t="s">
        <v>48</v>
      </c>
      <c r="D880" s="13">
        <v>1</v>
      </c>
      <c r="E880" s="37"/>
      <c r="F880" s="37"/>
      <c r="G880" s="36"/>
      <c r="H880" s="37"/>
    </row>
    <row r="881" spans="1:8" ht="78.75" x14ac:dyDescent="0.45">
      <c r="A881" s="107"/>
      <c r="B881" s="19"/>
      <c r="C881" s="12" t="s">
        <v>258</v>
      </c>
      <c r="D881" s="13">
        <v>0.5</v>
      </c>
      <c r="E881" s="32"/>
      <c r="F881" s="32"/>
      <c r="G881" s="31"/>
      <c r="H881" s="32"/>
    </row>
    <row r="882" spans="1:8" ht="47.25" x14ac:dyDescent="0.45">
      <c r="A882" s="107"/>
      <c r="B882" s="19"/>
      <c r="C882" s="22" t="s">
        <v>36</v>
      </c>
      <c r="D882" s="22">
        <v>0.3</v>
      </c>
      <c r="E882" s="22">
        <f t="shared" ref="E882:F882" si="297">E879</f>
        <v>10</v>
      </c>
      <c r="F882" s="22">
        <f t="shared" si="297"/>
        <v>72</v>
      </c>
      <c r="G882" s="22">
        <f t="shared" ref="G882:G883" si="298">D882*E882/F882</f>
        <v>4.1666666666666664E-2</v>
      </c>
      <c r="H882" s="22">
        <f>G882*$O$1029</f>
        <v>0</v>
      </c>
    </row>
    <row r="883" spans="1:8" ht="15.75" x14ac:dyDescent="0.45">
      <c r="A883" s="108"/>
      <c r="B883" s="27"/>
      <c r="C883" s="22" t="s">
        <v>49</v>
      </c>
      <c r="D883" s="22">
        <v>0.2</v>
      </c>
      <c r="E883" s="22">
        <f t="shared" ref="E883:F883" si="299">E879</f>
        <v>10</v>
      </c>
      <c r="F883" s="22">
        <f t="shared" si="299"/>
        <v>72</v>
      </c>
      <c r="G883" s="22">
        <f t="shared" si="298"/>
        <v>2.7777777777777776E-2</v>
      </c>
      <c r="H883" s="22">
        <f>G883*$O$1039</f>
        <v>0</v>
      </c>
    </row>
    <row r="884" spans="1:8" ht="15.75" x14ac:dyDescent="0.45">
      <c r="A884" s="43"/>
      <c r="B884" s="1"/>
      <c r="C884" s="1"/>
      <c r="D884" s="44"/>
      <c r="E884" s="44"/>
      <c r="F884" s="44"/>
      <c r="G884" s="45"/>
      <c r="H884" s="44"/>
    </row>
    <row r="885" spans="1:8" ht="31.5" x14ac:dyDescent="0.45">
      <c r="A885" s="106" t="s">
        <v>262</v>
      </c>
      <c r="B885" s="11" t="s">
        <v>101</v>
      </c>
      <c r="C885" s="12" t="s">
        <v>11</v>
      </c>
      <c r="D885" s="13">
        <v>3</v>
      </c>
      <c r="E885" s="17">
        <f>E855</f>
        <v>10</v>
      </c>
      <c r="F885" s="17">
        <v>84</v>
      </c>
      <c r="G885" s="16">
        <f>(D885+D886+D887)*E885/F885</f>
        <v>0.5357142857142857</v>
      </c>
      <c r="H885" s="17">
        <f>G885*$K$3</f>
        <v>7.7678571428571423</v>
      </c>
    </row>
    <row r="886" spans="1:8" ht="15.75" x14ac:dyDescent="0.45">
      <c r="A886" s="107"/>
      <c r="B886" s="19"/>
      <c r="C886" s="12" t="s">
        <v>48</v>
      </c>
      <c r="D886" s="13">
        <v>1</v>
      </c>
      <c r="E886" s="37"/>
      <c r="F886" s="37"/>
      <c r="G886" s="36"/>
      <c r="H886" s="37"/>
    </row>
    <row r="887" spans="1:8" ht="78.75" x14ac:dyDescent="0.45">
      <c r="A887" s="107"/>
      <c r="B887" s="19"/>
      <c r="C887" s="12" t="s">
        <v>258</v>
      </c>
      <c r="D887" s="13">
        <v>0.5</v>
      </c>
      <c r="E887" s="32"/>
      <c r="F887" s="32"/>
      <c r="G887" s="31"/>
      <c r="H887" s="32"/>
    </row>
    <row r="888" spans="1:8" ht="47.25" x14ac:dyDescent="0.45">
      <c r="A888" s="107"/>
      <c r="B888" s="19"/>
      <c r="C888" s="22" t="s">
        <v>36</v>
      </c>
      <c r="D888" s="22">
        <v>0.1</v>
      </c>
      <c r="E888" s="22">
        <f t="shared" ref="E888:F888" si="300">E885</f>
        <v>10</v>
      </c>
      <c r="F888" s="22">
        <f t="shared" si="300"/>
        <v>84</v>
      </c>
      <c r="G888" s="22">
        <f t="shared" ref="G888:G889" si="301">D888*E888/F888</f>
        <v>1.1904761904761904E-2</v>
      </c>
      <c r="H888" s="22">
        <f>G888*$O$1029</f>
        <v>0</v>
      </c>
    </row>
    <row r="889" spans="1:8" ht="15.75" x14ac:dyDescent="0.45">
      <c r="A889" s="108"/>
      <c r="B889" s="27"/>
      <c r="C889" s="22" t="s">
        <v>49</v>
      </c>
      <c r="D889" s="22">
        <v>0.1</v>
      </c>
      <c r="E889" s="22">
        <f t="shared" ref="E889:F889" si="302">E885</f>
        <v>10</v>
      </c>
      <c r="F889" s="22">
        <f t="shared" si="302"/>
        <v>84</v>
      </c>
      <c r="G889" s="22">
        <f t="shared" si="301"/>
        <v>1.1904761904761904E-2</v>
      </c>
      <c r="H889" s="22">
        <f>G889*$O$1039</f>
        <v>0</v>
      </c>
    </row>
    <row r="890" spans="1:8" ht="15.75" x14ac:dyDescent="0.45">
      <c r="A890" s="43"/>
      <c r="B890" s="1"/>
      <c r="C890" s="1"/>
      <c r="D890" s="44"/>
      <c r="E890" s="44"/>
      <c r="F890" s="44"/>
      <c r="G890" s="45"/>
      <c r="H890" s="44"/>
    </row>
    <row r="891" spans="1:8" ht="31.5" x14ac:dyDescent="0.45">
      <c r="A891" s="106" t="s">
        <v>263</v>
      </c>
      <c r="B891" s="11" t="s">
        <v>101</v>
      </c>
      <c r="C891" s="12" t="s">
        <v>11</v>
      </c>
      <c r="D891" s="13">
        <v>3</v>
      </c>
      <c r="E891" s="17">
        <f>E885</f>
        <v>10</v>
      </c>
      <c r="F891" s="17">
        <v>250</v>
      </c>
      <c r="G891" s="16">
        <f>(D891+D892+D893)*E891/F891</f>
        <v>0.18</v>
      </c>
      <c r="H891" s="17">
        <f>G891*$K$3</f>
        <v>2.61</v>
      </c>
    </row>
    <row r="892" spans="1:8" ht="15.75" x14ac:dyDescent="0.45">
      <c r="A892" s="107"/>
      <c r="B892" s="19"/>
      <c r="C892" s="12" t="s">
        <v>48</v>
      </c>
      <c r="D892" s="13">
        <v>1</v>
      </c>
      <c r="E892" s="37"/>
      <c r="F892" s="37"/>
      <c r="G892" s="36"/>
      <c r="H892" s="37"/>
    </row>
    <row r="893" spans="1:8" ht="78.75" x14ac:dyDescent="0.45">
      <c r="A893" s="107"/>
      <c r="B893" s="19"/>
      <c r="C893" s="12" t="s">
        <v>258</v>
      </c>
      <c r="D893" s="13">
        <v>0.5</v>
      </c>
      <c r="E893" s="32"/>
      <c r="F893" s="32"/>
      <c r="G893" s="31"/>
      <c r="H893" s="32"/>
    </row>
    <row r="894" spans="1:8" ht="47.25" x14ac:dyDescent="0.45">
      <c r="A894" s="107"/>
      <c r="B894" s="19"/>
      <c r="C894" s="22" t="s">
        <v>36</v>
      </c>
      <c r="D894" s="22">
        <v>0.2</v>
      </c>
      <c r="E894" s="22">
        <f t="shared" ref="E894:F894" si="303">E891</f>
        <v>10</v>
      </c>
      <c r="F894" s="22">
        <f t="shared" si="303"/>
        <v>250</v>
      </c>
      <c r="G894" s="22">
        <f t="shared" ref="G894:G895" si="304">D894*E894/F894</f>
        <v>8.0000000000000002E-3</v>
      </c>
      <c r="H894" s="22">
        <f>G894*$O$1029</f>
        <v>0</v>
      </c>
    </row>
    <row r="895" spans="1:8" ht="15.75" x14ac:dyDescent="0.45">
      <c r="A895" s="108"/>
      <c r="B895" s="27"/>
      <c r="C895" s="22" t="s">
        <v>49</v>
      </c>
      <c r="D895" s="22">
        <v>0.2</v>
      </c>
      <c r="E895" s="22">
        <f t="shared" ref="E895:F895" si="305">E891</f>
        <v>10</v>
      </c>
      <c r="F895" s="22">
        <f t="shared" si="305"/>
        <v>250</v>
      </c>
      <c r="G895" s="22">
        <f t="shared" si="304"/>
        <v>8.0000000000000002E-3</v>
      </c>
      <c r="H895" s="22">
        <f>G895*$O$1039</f>
        <v>0</v>
      </c>
    </row>
    <row r="896" spans="1:8" ht="15.75" x14ac:dyDescent="0.45">
      <c r="A896" s="43"/>
      <c r="B896" s="1"/>
      <c r="C896" s="1"/>
      <c r="D896" s="44"/>
      <c r="E896" s="44"/>
      <c r="F896" s="44"/>
      <c r="G896" s="45"/>
      <c r="H896" s="44"/>
    </row>
    <row r="897" spans="1:8" ht="31.5" x14ac:dyDescent="0.45">
      <c r="A897" s="10" t="s">
        <v>264</v>
      </c>
      <c r="B897" s="11" t="s">
        <v>101</v>
      </c>
      <c r="C897" s="12" t="s">
        <v>11</v>
      </c>
      <c r="D897" s="13">
        <v>3</v>
      </c>
      <c r="E897" s="17">
        <f>E891</f>
        <v>10</v>
      </c>
      <c r="F897" s="17">
        <v>300</v>
      </c>
      <c r="G897" s="16">
        <f>(D897+D898)*E897/F897</f>
        <v>0.13333333333333333</v>
      </c>
      <c r="H897" s="17">
        <f>G897*$K$3</f>
        <v>1.9333333333333333</v>
      </c>
    </row>
    <row r="898" spans="1:8" ht="15.75" x14ac:dyDescent="0.45">
      <c r="A898" s="18"/>
      <c r="B898" s="19"/>
      <c r="C898" s="12" t="s">
        <v>48</v>
      </c>
      <c r="D898" s="13">
        <v>1</v>
      </c>
      <c r="E898" s="32"/>
      <c r="F898" s="32"/>
      <c r="G898" s="31"/>
      <c r="H898" s="32"/>
    </row>
    <row r="899" spans="1:8" ht="15.75" x14ac:dyDescent="0.45">
      <c r="A899" s="26"/>
      <c r="B899" s="27"/>
      <c r="C899" s="22" t="s">
        <v>49</v>
      </c>
      <c r="D899" s="22">
        <v>0.15</v>
      </c>
      <c r="E899" s="22">
        <f t="shared" ref="E899:F899" si="306">E897</f>
        <v>10</v>
      </c>
      <c r="F899" s="22">
        <f t="shared" si="306"/>
        <v>300</v>
      </c>
      <c r="G899" s="22">
        <f>D899*E899/F899</f>
        <v>5.0000000000000001E-3</v>
      </c>
      <c r="H899" s="22">
        <f>G899*$O$1039</f>
        <v>0</v>
      </c>
    </row>
    <row r="900" spans="1:8" ht="15.75" x14ac:dyDescent="0.45">
      <c r="A900" s="43"/>
      <c r="B900" s="1"/>
      <c r="C900" s="1"/>
      <c r="D900" s="44"/>
      <c r="E900" s="44"/>
      <c r="F900" s="44"/>
      <c r="G900" s="45"/>
      <c r="H900" s="44"/>
    </row>
    <row r="901" spans="1:8" ht="31.5" x14ac:dyDescent="0.45">
      <c r="A901" s="10" t="s">
        <v>265</v>
      </c>
      <c r="B901" s="11" t="s">
        <v>101</v>
      </c>
      <c r="C901" s="12" t="s">
        <v>11</v>
      </c>
      <c r="D901" s="13">
        <v>3</v>
      </c>
      <c r="E901" s="17">
        <f>E897</f>
        <v>10</v>
      </c>
      <c r="F901" s="17">
        <v>350</v>
      </c>
      <c r="G901" s="16">
        <f>(D901+D902)*E901/F901</f>
        <v>0.11428571428571428</v>
      </c>
      <c r="H901" s="17">
        <f>G901*$K$3</f>
        <v>1.657142857142857</v>
      </c>
    </row>
    <row r="902" spans="1:8" ht="15.75" x14ac:dyDescent="0.45">
      <c r="A902" s="18"/>
      <c r="B902" s="19"/>
      <c r="C902" s="12" t="s">
        <v>48</v>
      </c>
      <c r="D902" s="13">
        <v>1</v>
      </c>
      <c r="E902" s="32"/>
      <c r="F902" s="32"/>
      <c r="G902" s="31"/>
      <c r="H902" s="32"/>
    </row>
    <row r="903" spans="1:8" ht="15.75" x14ac:dyDescent="0.45">
      <c r="A903" s="26"/>
      <c r="B903" s="27"/>
      <c r="C903" s="22" t="s">
        <v>49</v>
      </c>
      <c r="D903" s="22">
        <v>0.15</v>
      </c>
      <c r="E903" s="22">
        <f t="shared" ref="E903:F903" si="307">E901</f>
        <v>10</v>
      </c>
      <c r="F903" s="22">
        <f t="shared" si="307"/>
        <v>350</v>
      </c>
      <c r="G903" s="22">
        <f>D903*E903/F903</f>
        <v>4.2857142857142859E-3</v>
      </c>
      <c r="H903" s="22">
        <f>G903*$O$1039</f>
        <v>0</v>
      </c>
    </row>
    <row r="904" spans="1:8" ht="15.75" x14ac:dyDescent="0.45">
      <c r="A904" s="43"/>
      <c r="B904" s="1"/>
      <c r="C904" s="1"/>
      <c r="D904" s="44"/>
      <c r="E904" s="44"/>
      <c r="F904" s="44"/>
      <c r="G904" s="45"/>
      <c r="H904" s="44"/>
    </row>
    <row r="905" spans="1:8" ht="31.5" x14ac:dyDescent="0.45">
      <c r="A905" s="63" t="s">
        <v>266</v>
      </c>
      <c r="B905" s="63" t="s">
        <v>101</v>
      </c>
      <c r="C905" s="12" t="s">
        <v>11</v>
      </c>
      <c r="D905" s="13">
        <v>2</v>
      </c>
      <c r="E905" s="13">
        <f>E901</f>
        <v>10</v>
      </c>
      <c r="F905" s="13">
        <v>1500</v>
      </c>
      <c r="G905" s="20">
        <f>D905*E905/F905</f>
        <v>1.3333333333333334E-2</v>
      </c>
      <c r="H905" s="17">
        <f>G905*$K$3</f>
        <v>0.19333333333333336</v>
      </c>
    </row>
    <row r="906" spans="1:8" ht="15.75" x14ac:dyDescent="0.45">
      <c r="A906" s="43"/>
      <c r="B906" s="1"/>
      <c r="C906" s="1"/>
      <c r="D906" s="44"/>
      <c r="E906" s="44"/>
      <c r="F906" s="44"/>
      <c r="G906" s="45"/>
      <c r="H906" s="44"/>
    </row>
    <row r="907" spans="1:8" ht="31.5" x14ac:dyDescent="0.45">
      <c r="A907" s="63" t="s">
        <v>267</v>
      </c>
      <c r="B907" s="63" t="s">
        <v>9</v>
      </c>
      <c r="C907" s="12" t="s">
        <v>11</v>
      </c>
      <c r="D907" s="13">
        <v>3</v>
      </c>
      <c r="E907" s="13">
        <f>E903</f>
        <v>10</v>
      </c>
      <c r="F907" s="13">
        <v>4</v>
      </c>
      <c r="G907" s="20">
        <f>D907*E907/F907</f>
        <v>7.5</v>
      </c>
      <c r="H907" s="17">
        <f>G907*$K$3</f>
        <v>108.75</v>
      </c>
    </row>
    <row r="908" spans="1:8" ht="15.75" x14ac:dyDescent="0.45">
      <c r="A908" s="43"/>
      <c r="B908" s="1"/>
      <c r="C908" s="1"/>
      <c r="D908" s="44"/>
      <c r="E908" s="44"/>
      <c r="F908" s="44"/>
      <c r="G908" s="45"/>
      <c r="H908" s="44"/>
    </row>
    <row r="909" spans="1:8" ht="31.5" x14ac:dyDescent="0.45">
      <c r="A909" s="10" t="s">
        <v>268</v>
      </c>
      <c r="B909" s="11" t="s">
        <v>101</v>
      </c>
      <c r="C909" s="12" t="s">
        <v>11</v>
      </c>
      <c r="D909" s="13">
        <v>2</v>
      </c>
      <c r="E909" s="17">
        <f>E905</f>
        <v>10</v>
      </c>
      <c r="F909" s="17">
        <v>250</v>
      </c>
      <c r="G909" s="16">
        <f>(D909+D910)*E909/F909</f>
        <v>0.12</v>
      </c>
      <c r="H909" s="17">
        <f>G909*$K$3</f>
        <v>1.74</v>
      </c>
    </row>
    <row r="910" spans="1:8" ht="15.75" x14ac:dyDescent="0.45">
      <c r="A910" s="18"/>
      <c r="B910" s="19"/>
      <c r="C910" s="12" t="s">
        <v>48</v>
      </c>
      <c r="D910" s="13">
        <v>1</v>
      </c>
      <c r="E910" s="32"/>
      <c r="F910" s="32"/>
      <c r="G910" s="31"/>
      <c r="H910" s="17"/>
    </row>
    <row r="911" spans="1:8" ht="31.5" x14ac:dyDescent="0.45">
      <c r="A911" s="26"/>
      <c r="B911" s="27"/>
      <c r="C911" s="22" t="s">
        <v>12</v>
      </c>
      <c r="D911" s="22">
        <v>0.2</v>
      </c>
      <c r="E911" s="22">
        <f t="shared" ref="E911:F911" si="308">E909</f>
        <v>10</v>
      </c>
      <c r="F911" s="22">
        <f t="shared" si="308"/>
        <v>250</v>
      </c>
      <c r="G911" s="22">
        <f>D911*E909/F909</f>
        <v>8.0000000000000002E-3</v>
      </c>
      <c r="H911" s="22">
        <f>G911*O$1022</f>
        <v>0</v>
      </c>
    </row>
    <row r="912" spans="1:8" ht="15.75" x14ac:dyDescent="0.45">
      <c r="A912" s="43"/>
      <c r="B912" s="1"/>
      <c r="C912" s="1"/>
      <c r="D912" s="44"/>
      <c r="E912" s="44"/>
      <c r="F912" s="44"/>
      <c r="G912" s="45"/>
      <c r="H912" s="44"/>
    </row>
    <row r="913" spans="1:8" ht="31.5" x14ac:dyDescent="0.45">
      <c r="A913" s="10" t="s">
        <v>269</v>
      </c>
      <c r="B913" s="11" t="s">
        <v>65</v>
      </c>
      <c r="C913" s="12" t="s">
        <v>11</v>
      </c>
      <c r="D913" s="13">
        <v>2</v>
      </c>
      <c r="E913" s="17">
        <f>E909</f>
        <v>10</v>
      </c>
      <c r="F913" s="17">
        <v>2</v>
      </c>
      <c r="G913" s="16">
        <f>(D913+D914)*E913/F913</f>
        <v>20</v>
      </c>
      <c r="H913" s="17">
        <f>G913*$K$3</f>
        <v>290</v>
      </c>
    </row>
    <row r="914" spans="1:8" ht="15.75" x14ac:dyDescent="0.45">
      <c r="A914" s="26"/>
      <c r="B914" s="27"/>
      <c r="C914" s="12" t="s">
        <v>48</v>
      </c>
      <c r="D914" s="13">
        <v>2</v>
      </c>
      <c r="E914" s="32"/>
      <c r="F914" s="32"/>
      <c r="G914" s="31"/>
      <c r="H914" s="32"/>
    </row>
    <row r="915" spans="1:8" ht="15.75" x14ac:dyDescent="0.45">
      <c r="A915" s="43"/>
      <c r="B915" s="1"/>
      <c r="C915" s="1"/>
      <c r="D915" s="44"/>
      <c r="E915" s="44"/>
      <c r="F915" s="44"/>
      <c r="G915" s="45"/>
      <c r="H915" s="44"/>
    </row>
    <row r="916" spans="1:8" ht="31.5" x14ac:dyDescent="0.45">
      <c r="A916" s="10" t="s">
        <v>270</v>
      </c>
      <c r="B916" s="11" t="s">
        <v>65</v>
      </c>
      <c r="C916" s="12" t="s">
        <v>11</v>
      </c>
      <c r="D916" s="13">
        <v>2</v>
      </c>
      <c r="E916" s="17">
        <f>E913</f>
        <v>10</v>
      </c>
      <c r="F916" s="17">
        <v>4</v>
      </c>
      <c r="G916" s="16">
        <f>(D916+D917)*E916/F916</f>
        <v>10</v>
      </c>
      <c r="H916" s="17">
        <f>G916*$K$3</f>
        <v>145</v>
      </c>
    </row>
    <row r="917" spans="1:8" ht="15.75" x14ac:dyDescent="0.45">
      <c r="A917" s="26"/>
      <c r="B917" s="27"/>
      <c r="C917" s="12" t="s">
        <v>48</v>
      </c>
      <c r="D917" s="13">
        <v>2</v>
      </c>
      <c r="E917" s="32"/>
      <c r="F917" s="32"/>
      <c r="G917" s="31"/>
      <c r="H917" s="32"/>
    </row>
    <row r="918" spans="1:8" ht="15.75" x14ac:dyDescent="0.45">
      <c r="A918" s="43"/>
      <c r="B918" s="1"/>
      <c r="C918" s="1"/>
      <c r="D918" s="44"/>
      <c r="E918" s="44"/>
      <c r="F918" s="44"/>
      <c r="G918" s="45"/>
      <c r="H918" s="44"/>
    </row>
    <row r="919" spans="1:8" ht="31.5" x14ac:dyDescent="0.45">
      <c r="A919" s="10" t="s">
        <v>271</v>
      </c>
      <c r="B919" s="11" t="s">
        <v>65</v>
      </c>
      <c r="C919" s="12" t="s">
        <v>11</v>
      </c>
      <c r="D919" s="13">
        <v>2</v>
      </c>
      <c r="E919" s="17">
        <f>E913</f>
        <v>10</v>
      </c>
      <c r="F919" s="17">
        <v>6</v>
      </c>
      <c r="G919" s="16">
        <f>(D919+D920)*E919/F919</f>
        <v>6.666666666666667</v>
      </c>
      <c r="H919" s="17">
        <f>G919*$K$3</f>
        <v>96.666666666666671</v>
      </c>
    </row>
    <row r="920" spans="1:8" ht="15.75" x14ac:dyDescent="0.45">
      <c r="A920" s="26"/>
      <c r="B920" s="27"/>
      <c r="C920" s="12" t="s">
        <v>48</v>
      </c>
      <c r="D920" s="13">
        <v>2</v>
      </c>
      <c r="E920" s="32"/>
      <c r="F920" s="32"/>
      <c r="G920" s="31"/>
      <c r="H920" s="32"/>
    </row>
    <row r="921" spans="1:8" ht="15.75" x14ac:dyDescent="0.45">
      <c r="A921" s="43"/>
      <c r="B921" s="1"/>
      <c r="C921" s="1"/>
      <c r="D921" s="44"/>
      <c r="E921" s="44"/>
      <c r="F921" s="44"/>
      <c r="G921" s="45"/>
      <c r="H921" s="44"/>
    </row>
    <row r="922" spans="1:8" ht="31.5" x14ac:dyDescent="0.45">
      <c r="A922" s="10" t="s">
        <v>272</v>
      </c>
      <c r="B922" s="11" t="s">
        <v>65</v>
      </c>
      <c r="C922" s="12" t="s">
        <v>11</v>
      </c>
      <c r="D922" s="13">
        <v>2</v>
      </c>
      <c r="E922" s="17">
        <f>E919</f>
        <v>10</v>
      </c>
      <c r="F922" s="17">
        <v>5</v>
      </c>
      <c r="G922" s="16">
        <f>(D922+D923)*E922/F922</f>
        <v>8</v>
      </c>
      <c r="H922" s="17">
        <f>G922*$K$3</f>
        <v>116</v>
      </c>
    </row>
    <row r="923" spans="1:8" ht="15.75" x14ac:dyDescent="0.45">
      <c r="A923" s="26"/>
      <c r="B923" s="27"/>
      <c r="C923" s="12" t="s">
        <v>48</v>
      </c>
      <c r="D923" s="13">
        <v>2</v>
      </c>
      <c r="E923" s="32"/>
      <c r="F923" s="32"/>
      <c r="G923" s="31"/>
      <c r="H923" s="32"/>
    </row>
    <row r="924" spans="1:8" ht="15.75" x14ac:dyDescent="0.45">
      <c r="A924" s="43"/>
      <c r="B924" s="1"/>
      <c r="C924" s="1"/>
      <c r="D924" s="44"/>
      <c r="E924" s="44"/>
      <c r="F924" s="44"/>
      <c r="G924" s="45"/>
      <c r="H924" s="44"/>
    </row>
    <row r="925" spans="1:8" ht="31.5" x14ac:dyDescent="0.45">
      <c r="A925" s="10" t="s">
        <v>273</v>
      </c>
      <c r="B925" s="11" t="s">
        <v>65</v>
      </c>
      <c r="C925" s="12" t="s">
        <v>11</v>
      </c>
      <c r="D925" s="13">
        <v>4</v>
      </c>
      <c r="E925" s="17">
        <f>E922</f>
        <v>10</v>
      </c>
      <c r="F925" s="17">
        <v>1</v>
      </c>
      <c r="G925" s="16">
        <f>(D925+D926)*E925/F925</f>
        <v>60</v>
      </c>
      <c r="H925" s="17">
        <f>G925*$K$3</f>
        <v>870</v>
      </c>
    </row>
    <row r="926" spans="1:8" ht="15.75" x14ac:dyDescent="0.45">
      <c r="A926" s="26"/>
      <c r="B926" s="27"/>
      <c r="C926" s="12" t="s">
        <v>48</v>
      </c>
      <c r="D926" s="13">
        <v>2</v>
      </c>
      <c r="E926" s="32"/>
      <c r="F926" s="32"/>
      <c r="G926" s="31"/>
      <c r="H926" s="32"/>
    </row>
    <row r="927" spans="1:8" ht="15.75" x14ac:dyDescent="0.45">
      <c r="A927" s="43"/>
      <c r="B927" s="1"/>
      <c r="C927" s="1"/>
      <c r="D927" s="44"/>
      <c r="E927" s="44"/>
      <c r="F927" s="44"/>
      <c r="G927" s="45"/>
      <c r="H927" s="44"/>
    </row>
    <row r="928" spans="1:8" ht="31.5" x14ac:dyDescent="0.45">
      <c r="A928" s="10" t="s">
        <v>274</v>
      </c>
      <c r="B928" s="11" t="s">
        <v>65</v>
      </c>
      <c r="C928" s="12" t="s">
        <v>11</v>
      </c>
      <c r="D928" s="13">
        <v>3</v>
      </c>
      <c r="E928" s="17">
        <f>E925</f>
        <v>10</v>
      </c>
      <c r="F928" s="17">
        <v>2</v>
      </c>
      <c r="G928" s="16">
        <f>(D928+D929)*E928/F928</f>
        <v>20</v>
      </c>
      <c r="H928" s="17">
        <f>G928*$K$3</f>
        <v>290</v>
      </c>
    </row>
    <row r="929" spans="1:8" ht="15.75" x14ac:dyDescent="0.45">
      <c r="A929" s="26"/>
      <c r="B929" s="27"/>
      <c r="C929" s="12" t="s">
        <v>48</v>
      </c>
      <c r="D929" s="13">
        <v>1</v>
      </c>
      <c r="E929" s="32"/>
      <c r="F929" s="32"/>
      <c r="G929" s="31"/>
      <c r="H929" s="32"/>
    </row>
    <row r="930" spans="1:8" ht="15.75" x14ac:dyDescent="0.45">
      <c r="A930" s="43"/>
      <c r="B930" s="1"/>
      <c r="C930" s="1"/>
      <c r="D930" s="44"/>
      <c r="E930" s="44"/>
      <c r="F930" s="44"/>
      <c r="G930" s="45"/>
      <c r="H930" s="44"/>
    </row>
    <row r="931" spans="1:8" ht="31.5" x14ac:dyDescent="0.45">
      <c r="A931" s="10" t="s">
        <v>275</v>
      </c>
      <c r="B931" s="11" t="s">
        <v>65</v>
      </c>
      <c r="C931" s="12" t="s">
        <v>11</v>
      </c>
      <c r="D931" s="13">
        <v>3</v>
      </c>
      <c r="E931" s="17">
        <f>E925</f>
        <v>10</v>
      </c>
      <c r="F931" s="17">
        <v>3</v>
      </c>
      <c r="G931" s="16">
        <f>(D931+D932)*E931/F931</f>
        <v>13.333333333333334</v>
      </c>
      <c r="H931" s="17">
        <f>G931*$K$3</f>
        <v>193.33333333333334</v>
      </c>
    </row>
    <row r="932" spans="1:8" ht="15.75" x14ac:dyDescent="0.45">
      <c r="A932" s="26"/>
      <c r="B932" s="27"/>
      <c r="C932" s="12" t="s">
        <v>48</v>
      </c>
      <c r="D932" s="13">
        <v>1</v>
      </c>
      <c r="E932" s="32"/>
      <c r="F932" s="32"/>
      <c r="G932" s="31"/>
      <c r="H932" s="32"/>
    </row>
    <row r="933" spans="1:8" ht="15.75" x14ac:dyDescent="0.45">
      <c r="A933" s="43"/>
      <c r="B933" s="1"/>
      <c r="C933" s="1"/>
      <c r="D933" s="44"/>
      <c r="E933" s="44"/>
      <c r="F933" s="44"/>
      <c r="G933" s="45"/>
      <c r="H933" s="44"/>
    </row>
    <row r="934" spans="1:8" ht="31.5" x14ac:dyDescent="0.45">
      <c r="A934" s="10" t="s">
        <v>276</v>
      </c>
      <c r="B934" s="11" t="s">
        <v>65</v>
      </c>
      <c r="C934" s="12" t="s">
        <v>11</v>
      </c>
      <c r="D934" s="13">
        <v>1</v>
      </c>
      <c r="E934" s="17">
        <f>E925</f>
        <v>10</v>
      </c>
      <c r="F934" s="17">
        <v>3</v>
      </c>
      <c r="G934" s="16">
        <f>(D934+D935)*E934/F934</f>
        <v>6.666666666666667</v>
      </c>
      <c r="H934" s="17">
        <f>G934*$K$3</f>
        <v>96.666666666666671</v>
      </c>
    </row>
    <row r="935" spans="1:8" ht="15.75" x14ac:dyDescent="0.45">
      <c r="A935" s="26"/>
      <c r="B935" s="27"/>
      <c r="C935" s="12" t="s">
        <v>48</v>
      </c>
      <c r="D935" s="13">
        <v>1</v>
      </c>
      <c r="E935" s="32"/>
      <c r="F935" s="32"/>
      <c r="G935" s="31"/>
      <c r="H935" s="32"/>
    </row>
    <row r="936" spans="1:8" ht="15.75" x14ac:dyDescent="0.45">
      <c r="A936" s="43"/>
      <c r="B936" s="1"/>
      <c r="C936" s="1"/>
      <c r="D936" s="44"/>
      <c r="E936" s="44"/>
      <c r="F936" s="44"/>
      <c r="G936" s="45"/>
      <c r="H936" s="44"/>
    </row>
    <row r="937" spans="1:8" ht="31.5" x14ac:dyDescent="0.45">
      <c r="A937" s="109" t="s">
        <v>277</v>
      </c>
      <c r="B937" s="11" t="s">
        <v>65</v>
      </c>
      <c r="C937" s="12" t="s">
        <v>11</v>
      </c>
      <c r="D937" s="13">
        <v>3</v>
      </c>
      <c r="E937" s="17">
        <f>E934</f>
        <v>10</v>
      </c>
      <c r="F937" s="17">
        <v>1</v>
      </c>
      <c r="G937" s="16">
        <f>(D937+D938)*E937/F937</f>
        <v>40</v>
      </c>
      <c r="H937" s="17">
        <f>G937*$K$3</f>
        <v>580</v>
      </c>
    </row>
    <row r="938" spans="1:8" ht="15.75" x14ac:dyDescent="0.45">
      <c r="A938" s="110"/>
      <c r="B938" s="27"/>
      <c r="C938" s="12" t="s">
        <v>48</v>
      </c>
      <c r="D938" s="13">
        <v>1</v>
      </c>
      <c r="E938" s="32"/>
      <c r="F938" s="32"/>
      <c r="G938" s="31"/>
      <c r="H938" s="32"/>
    </row>
    <row r="939" spans="1:8" ht="15.75" x14ac:dyDescent="0.45">
      <c r="A939" s="43"/>
      <c r="B939" s="1"/>
      <c r="C939" s="1"/>
      <c r="D939" s="44"/>
      <c r="E939" s="44"/>
      <c r="F939" s="44"/>
      <c r="G939" s="45"/>
      <c r="H939" s="44"/>
    </row>
    <row r="940" spans="1:8" ht="31.5" x14ac:dyDescent="0.45">
      <c r="A940" s="109" t="s">
        <v>278</v>
      </c>
      <c r="B940" s="11" t="s">
        <v>101</v>
      </c>
      <c r="C940" s="12" t="s">
        <v>11</v>
      </c>
      <c r="D940" s="13">
        <v>2</v>
      </c>
      <c r="E940" s="17">
        <f>E937</f>
        <v>10</v>
      </c>
      <c r="F940" s="17">
        <v>1000</v>
      </c>
      <c r="G940" s="16">
        <f>(D940+D941)*E940/F940</f>
        <v>0.04</v>
      </c>
      <c r="H940" s="17">
        <f>G940*$K$3</f>
        <v>0.57999999999999996</v>
      </c>
    </row>
    <row r="941" spans="1:8" ht="15.75" x14ac:dyDescent="0.45">
      <c r="A941" s="110"/>
      <c r="B941" s="27"/>
      <c r="C941" s="12" t="s">
        <v>48</v>
      </c>
      <c r="D941" s="13">
        <v>2</v>
      </c>
      <c r="E941" s="32"/>
      <c r="F941" s="32"/>
      <c r="G941" s="31"/>
      <c r="H941" s="32"/>
    </row>
    <row r="942" spans="1:8" ht="15.75" x14ac:dyDescent="0.45">
      <c r="A942" s="28"/>
      <c r="B942" s="29"/>
      <c r="C942" s="29"/>
      <c r="D942" s="30"/>
      <c r="E942" s="30"/>
      <c r="F942" s="30"/>
      <c r="G942" s="111"/>
      <c r="H942" s="30"/>
    </row>
    <row r="943" spans="1:8" ht="31.5" x14ac:dyDescent="0.45">
      <c r="A943" s="109" t="s">
        <v>279</v>
      </c>
      <c r="B943" s="11" t="s">
        <v>65</v>
      </c>
      <c r="C943" s="12" t="s">
        <v>11</v>
      </c>
      <c r="D943" s="13">
        <v>2</v>
      </c>
      <c r="E943" s="17">
        <f>E937</f>
        <v>10</v>
      </c>
      <c r="F943" s="17">
        <v>100</v>
      </c>
      <c r="G943" s="16">
        <f>(D943+D944)*E943/F943</f>
        <v>0.3</v>
      </c>
      <c r="H943" s="17">
        <f>G943*$K$3</f>
        <v>4.3499999999999996</v>
      </c>
    </row>
    <row r="944" spans="1:8" ht="15.75" x14ac:dyDescent="0.45">
      <c r="A944" s="110"/>
      <c r="B944" s="27"/>
      <c r="C944" s="12" t="s">
        <v>48</v>
      </c>
      <c r="D944" s="13">
        <v>1</v>
      </c>
      <c r="E944" s="32"/>
      <c r="F944" s="32"/>
      <c r="G944" s="31"/>
      <c r="H944" s="32"/>
    </row>
    <row r="945" spans="1:8" ht="15.75" x14ac:dyDescent="0.45">
      <c r="A945" s="28"/>
      <c r="B945" s="29"/>
      <c r="C945" s="29"/>
      <c r="D945" s="30"/>
      <c r="E945" s="30"/>
      <c r="F945" s="30"/>
      <c r="G945" s="112"/>
      <c r="H945" s="113"/>
    </row>
    <row r="946" spans="1:8" ht="31.5" x14ac:dyDescent="0.45">
      <c r="A946" s="109" t="s">
        <v>280</v>
      </c>
      <c r="B946" s="11" t="s">
        <v>65</v>
      </c>
      <c r="C946" s="12" t="s">
        <v>11</v>
      </c>
      <c r="D946" s="13">
        <v>2</v>
      </c>
      <c r="E946" s="17">
        <f>E940</f>
        <v>10</v>
      </c>
      <c r="F946" s="17">
        <v>250</v>
      </c>
      <c r="G946" s="16">
        <f>(D946+D947)*E946/F946</f>
        <v>0.12</v>
      </c>
      <c r="H946" s="17">
        <f>G946*$K$3</f>
        <v>1.74</v>
      </c>
    </row>
    <row r="947" spans="1:8" ht="15.75" x14ac:dyDescent="0.45">
      <c r="A947" s="110"/>
      <c r="B947" s="27"/>
      <c r="C947" s="12" t="s">
        <v>48</v>
      </c>
      <c r="D947" s="13">
        <v>1</v>
      </c>
      <c r="E947" s="32"/>
      <c r="F947" s="32"/>
      <c r="G947" s="31"/>
      <c r="H947" s="32"/>
    </row>
    <row r="948" spans="1:8" ht="15.75" x14ac:dyDescent="0.45">
      <c r="A948" s="28"/>
      <c r="B948" s="29"/>
      <c r="C948" s="29"/>
      <c r="D948" s="30"/>
      <c r="E948" s="30"/>
      <c r="F948" s="30"/>
      <c r="G948" s="111"/>
      <c r="H948" s="30"/>
    </row>
    <row r="949" spans="1:8" ht="31.5" x14ac:dyDescent="0.45">
      <c r="A949" s="109" t="s">
        <v>281</v>
      </c>
      <c r="B949" s="11" t="s">
        <v>65</v>
      </c>
      <c r="C949" s="12" t="s">
        <v>11</v>
      </c>
      <c r="D949" s="13">
        <v>2</v>
      </c>
      <c r="E949" s="17">
        <f>E946</f>
        <v>10</v>
      </c>
      <c r="F949" s="17">
        <v>55</v>
      </c>
      <c r="G949" s="16">
        <f>(D949+D950)*E949/F949</f>
        <v>0.72727272727272729</v>
      </c>
      <c r="H949" s="17">
        <f>G949*$K$3</f>
        <v>10.545454545454545</v>
      </c>
    </row>
    <row r="950" spans="1:8" ht="15.75" x14ac:dyDescent="0.45">
      <c r="A950" s="110"/>
      <c r="B950" s="27"/>
      <c r="C950" s="12" t="s">
        <v>48</v>
      </c>
      <c r="D950" s="13">
        <v>2</v>
      </c>
      <c r="E950" s="32"/>
      <c r="F950" s="32"/>
      <c r="G950" s="31"/>
      <c r="H950" s="32"/>
    </row>
    <row r="951" spans="1:8" ht="15.75" x14ac:dyDescent="0.45">
      <c r="A951" s="28"/>
      <c r="B951" s="29"/>
      <c r="C951" s="29"/>
      <c r="D951" s="29"/>
      <c r="E951" s="29"/>
      <c r="F951" s="29"/>
      <c r="G951" s="29"/>
      <c r="H951" s="29"/>
    </row>
    <row r="952" spans="1:8" ht="31.5" x14ac:dyDescent="0.45">
      <c r="A952" s="109" t="s">
        <v>282</v>
      </c>
      <c r="B952" s="11" t="s">
        <v>65</v>
      </c>
      <c r="C952" s="12" t="s">
        <v>11</v>
      </c>
      <c r="D952" s="13">
        <v>2</v>
      </c>
      <c r="E952" s="17">
        <f>E949</f>
        <v>10</v>
      </c>
      <c r="F952" s="17">
        <v>40</v>
      </c>
      <c r="G952" s="16">
        <f>(D952+D953)*E952/F952</f>
        <v>1</v>
      </c>
      <c r="H952" s="17">
        <f>G952*$K$3</f>
        <v>14.5</v>
      </c>
    </row>
    <row r="953" spans="1:8" ht="15.75" x14ac:dyDescent="0.45">
      <c r="A953" s="110"/>
      <c r="B953" s="27"/>
      <c r="C953" s="12" t="s">
        <v>48</v>
      </c>
      <c r="D953" s="13">
        <v>2</v>
      </c>
      <c r="E953" s="32"/>
      <c r="F953" s="32"/>
      <c r="G953" s="31"/>
      <c r="H953" s="32"/>
    </row>
    <row r="954" spans="1:8" ht="15.75" x14ac:dyDescent="0.45">
      <c r="A954" s="28"/>
      <c r="B954" s="29"/>
      <c r="C954" s="29"/>
      <c r="D954" s="30"/>
      <c r="E954" s="30"/>
      <c r="F954" s="30"/>
      <c r="G954" s="111"/>
      <c r="H954" s="30"/>
    </row>
    <row r="955" spans="1:8" ht="31.5" x14ac:dyDescent="0.45">
      <c r="A955" s="109" t="s">
        <v>283</v>
      </c>
      <c r="B955" s="11" t="s">
        <v>101</v>
      </c>
      <c r="C955" s="12" t="s">
        <v>11</v>
      </c>
      <c r="D955" s="13">
        <v>4</v>
      </c>
      <c r="E955" s="17">
        <f>E952</f>
        <v>10</v>
      </c>
      <c r="F955" s="17">
        <v>1100</v>
      </c>
      <c r="G955" s="16">
        <f>(D955+D956)*E955/F955</f>
        <v>4.5454545454545456E-2</v>
      </c>
      <c r="H955" s="17">
        <f>G955*$K$3</f>
        <v>0.65909090909090906</v>
      </c>
    </row>
    <row r="956" spans="1:8" ht="15.75" x14ac:dyDescent="0.45">
      <c r="A956" s="110"/>
      <c r="B956" s="27"/>
      <c r="C956" s="12" t="s">
        <v>48</v>
      </c>
      <c r="D956" s="13">
        <v>1</v>
      </c>
      <c r="E956" s="32"/>
      <c r="F956" s="32"/>
      <c r="G956" s="31"/>
      <c r="H956" s="32"/>
    </row>
    <row r="957" spans="1:8" ht="15.75" x14ac:dyDescent="0.45">
      <c r="A957" s="28"/>
      <c r="B957" s="29"/>
      <c r="C957" s="29"/>
      <c r="D957" s="30"/>
      <c r="E957" s="30"/>
      <c r="F957" s="30"/>
      <c r="G957" s="111"/>
      <c r="H957" s="30"/>
    </row>
    <row r="958" spans="1:8" ht="31.5" x14ac:dyDescent="0.45">
      <c r="A958" s="109" t="s">
        <v>284</v>
      </c>
      <c r="B958" s="11" t="s">
        <v>65</v>
      </c>
      <c r="C958" s="12" t="s">
        <v>11</v>
      </c>
      <c r="D958" s="13">
        <v>4</v>
      </c>
      <c r="E958" s="17">
        <f>E955</f>
        <v>10</v>
      </c>
      <c r="F958" s="17">
        <v>1500</v>
      </c>
      <c r="G958" s="16">
        <f>(D958+D959)*E958/F958</f>
        <v>0.04</v>
      </c>
      <c r="H958" s="17">
        <f>G958*$K$3</f>
        <v>0.57999999999999996</v>
      </c>
    </row>
    <row r="959" spans="1:8" ht="15.75" x14ac:dyDescent="0.45">
      <c r="A959" s="110"/>
      <c r="B959" s="27"/>
      <c r="C959" s="12" t="s">
        <v>48</v>
      </c>
      <c r="D959" s="13">
        <v>2</v>
      </c>
      <c r="E959" s="32"/>
      <c r="F959" s="32"/>
      <c r="G959" s="31"/>
      <c r="H959" s="32"/>
    </row>
    <row r="960" spans="1:8" ht="15.75" x14ac:dyDescent="0.45">
      <c r="A960" s="28"/>
      <c r="B960" s="29"/>
      <c r="C960" s="29"/>
      <c r="D960" s="30"/>
      <c r="E960" s="30"/>
      <c r="F960" s="30"/>
      <c r="G960" s="111"/>
      <c r="H960" s="30"/>
    </row>
    <row r="961" spans="1:8" ht="31.5" x14ac:dyDescent="0.45">
      <c r="A961" s="109" t="s">
        <v>285</v>
      </c>
      <c r="B961" s="11" t="s">
        <v>65</v>
      </c>
      <c r="C961" s="12" t="s">
        <v>11</v>
      </c>
      <c r="D961" s="13">
        <v>2</v>
      </c>
      <c r="E961" s="17">
        <f>E958</f>
        <v>10</v>
      </c>
      <c r="F961" s="17">
        <v>20</v>
      </c>
      <c r="G961" s="16">
        <f>(D961+D962)*E961/F961</f>
        <v>1.5</v>
      </c>
      <c r="H961" s="17">
        <f>G961*$K$3</f>
        <v>21.75</v>
      </c>
    </row>
    <row r="962" spans="1:8" ht="15.75" x14ac:dyDescent="0.45">
      <c r="A962" s="110"/>
      <c r="B962" s="27"/>
      <c r="C962" s="12" t="s">
        <v>48</v>
      </c>
      <c r="D962" s="13">
        <v>1</v>
      </c>
      <c r="E962" s="32"/>
      <c r="F962" s="32"/>
      <c r="G962" s="31"/>
      <c r="H962" s="32"/>
    </row>
    <row r="963" spans="1:8" ht="15.75" x14ac:dyDescent="0.45">
      <c r="A963" s="28"/>
      <c r="B963" s="29"/>
      <c r="C963" s="29"/>
      <c r="D963" s="30"/>
      <c r="E963" s="30"/>
      <c r="F963" s="30"/>
      <c r="G963" s="111"/>
      <c r="H963" s="30"/>
    </row>
    <row r="964" spans="1:8" ht="31.5" x14ac:dyDescent="0.45">
      <c r="A964" s="109" t="s">
        <v>286</v>
      </c>
      <c r="B964" s="11" t="s">
        <v>65</v>
      </c>
      <c r="C964" s="12" t="s">
        <v>11</v>
      </c>
      <c r="D964" s="13">
        <v>2</v>
      </c>
      <c r="E964" s="17">
        <f>E961</f>
        <v>10</v>
      </c>
      <c r="F964" s="17">
        <v>2</v>
      </c>
      <c r="G964" s="16">
        <f>(D964+D965)*E964/F964</f>
        <v>15</v>
      </c>
      <c r="H964" s="17">
        <f>G964*$K$3</f>
        <v>217.5</v>
      </c>
    </row>
    <row r="965" spans="1:8" ht="15.75" x14ac:dyDescent="0.45">
      <c r="A965" s="110"/>
      <c r="B965" s="27"/>
      <c r="C965" s="12" t="s">
        <v>48</v>
      </c>
      <c r="D965" s="13">
        <v>1</v>
      </c>
      <c r="E965" s="32"/>
      <c r="F965" s="32"/>
      <c r="G965" s="31"/>
      <c r="H965" s="32"/>
    </row>
    <row r="966" spans="1:8" ht="15.75" x14ac:dyDescent="0.45">
      <c r="A966" s="28"/>
      <c r="B966" s="29"/>
      <c r="C966" s="29"/>
      <c r="D966" s="30"/>
      <c r="E966" s="30"/>
      <c r="F966" s="30"/>
      <c r="G966" s="111"/>
      <c r="H966" s="30"/>
    </row>
    <row r="967" spans="1:8" ht="31.5" x14ac:dyDescent="0.45">
      <c r="A967" s="109" t="s">
        <v>287</v>
      </c>
      <c r="B967" s="11" t="s">
        <v>65</v>
      </c>
      <c r="C967" s="12" t="s">
        <v>11</v>
      </c>
      <c r="D967" s="13">
        <v>2</v>
      </c>
      <c r="E967" s="17">
        <f>E964</f>
        <v>10</v>
      </c>
      <c r="F967" s="17">
        <v>0.5</v>
      </c>
      <c r="G967" s="16">
        <f>(D967+D968)*E967/F967</f>
        <v>60</v>
      </c>
      <c r="H967" s="17">
        <f>G967*$K$3</f>
        <v>870</v>
      </c>
    </row>
    <row r="968" spans="1:8" ht="15.75" x14ac:dyDescent="0.45">
      <c r="A968" s="110"/>
      <c r="B968" s="27"/>
      <c r="C968" s="12" t="s">
        <v>48</v>
      </c>
      <c r="D968" s="13">
        <v>1</v>
      </c>
      <c r="E968" s="32"/>
      <c r="F968" s="32"/>
      <c r="G968" s="31"/>
      <c r="H968" s="32"/>
    </row>
    <row r="969" spans="1:8" ht="15.75" x14ac:dyDescent="0.45">
      <c r="A969" s="28"/>
      <c r="B969" s="29"/>
      <c r="C969" s="29"/>
      <c r="D969" s="30"/>
      <c r="E969" s="30"/>
      <c r="F969" s="30"/>
      <c r="G969" s="111"/>
      <c r="H969" s="30"/>
    </row>
    <row r="970" spans="1:8" ht="157.5" x14ac:dyDescent="0.45">
      <c r="A970" s="11" t="s">
        <v>288</v>
      </c>
      <c r="B970" s="11" t="s">
        <v>65</v>
      </c>
      <c r="C970" s="12" t="s">
        <v>11</v>
      </c>
      <c r="D970" s="13">
        <v>2</v>
      </c>
      <c r="E970" s="17">
        <f>E967</f>
        <v>10</v>
      </c>
      <c r="F970" s="17">
        <v>2</v>
      </c>
      <c r="G970" s="16">
        <f>(D970+D971)*E970/F970</f>
        <v>15</v>
      </c>
      <c r="H970" s="17">
        <f>G970*$K$3</f>
        <v>217.5</v>
      </c>
    </row>
    <row r="971" spans="1:8" ht="15.75" x14ac:dyDescent="0.45">
      <c r="A971" s="27"/>
      <c r="B971" s="27"/>
      <c r="C971" s="12" t="s">
        <v>48</v>
      </c>
      <c r="D971" s="13">
        <v>1</v>
      </c>
      <c r="E971" s="32"/>
      <c r="F971" s="32"/>
      <c r="G971" s="31"/>
      <c r="H971" s="32"/>
    </row>
    <row r="972" spans="1:8" ht="15.75" x14ac:dyDescent="0.45">
      <c r="A972" s="1"/>
      <c r="B972" s="1"/>
      <c r="C972" s="1"/>
      <c r="D972" s="1"/>
      <c r="E972" s="2"/>
      <c r="F972" s="1"/>
      <c r="G972" s="1"/>
      <c r="H972" s="1"/>
    </row>
    <row r="973" spans="1:8" ht="63" x14ac:dyDescent="0.45">
      <c r="A973" s="11" t="s">
        <v>289</v>
      </c>
      <c r="B973" s="11" t="s">
        <v>65</v>
      </c>
      <c r="C973" s="12" t="s">
        <v>11</v>
      </c>
      <c r="D973" s="13">
        <v>1</v>
      </c>
      <c r="E973" s="17">
        <f>E970</f>
        <v>10</v>
      </c>
      <c r="F973" s="17">
        <v>400</v>
      </c>
      <c r="G973" s="16">
        <f>(D973+D974)*E973/F973</f>
        <v>0.05</v>
      </c>
      <c r="H973" s="17">
        <f>G973*$K$3</f>
        <v>0.72500000000000009</v>
      </c>
    </row>
    <row r="974" spans="1:8" ht="15.75" x14ac:dyDescent="0.45">
      <c r="A974" s="27"/>
      <c r="B974" s="27"/>
      <c r="C974" s="12" t="s">
        <v>48</v>
      </c>
      <c r="D974" s="13">
        <v>1</v>
      </c>
      <c r="E974" s="32"/>
      <c r="F974" s="32"/>
      <c r="G974" s="31"/>
      <c r="H974" s="32"/>
    </row>
    <row r="975" spans="1:8" ht="15.75" x14ac:dyDescent="0.45">
      <c r="A975" s="1"/>
      <c r="B975" s="1"/>
      <c r="C975" s="114"/>
      <c r="D975" s="115"/>
      <c r="E975" s="115"/>
      <c r="F975" s="115"/>
      <c r="G975" s="116"/>
      <c r="H975" s="115"/>
    </row>
    <row r="976" spans="1:8" ht="31.5" x14ac:dyDescent="0.45">
      <c r="A976" s="10" t="s">
        <v>290</v>
      </c>
      <c r="B976" s="11" t="s">
        <v>65</v>
      </c>
      <c r="C976" s="12" t="s">
        <v>11</v>
      </c>
      <c r="D976" s="13">
        <v>1</v>
      </c>
      <c r="E976" s="17">
        <f>E973</f>
        <v>10</v>
      </c>
      <c r="F976" s="17">
        <v>50</v>
      </c>
      <c r="G976" s="16">
        <f>(D976+D977)*E976/F976</f>
        <v>0.4</v>
      </c>
      <c r="H976" s="17">
        <f>G976*$K$3</f>
        <v>5.8000000000000007</v>
      </c>
    </row>
    <row r="977" spans="1:8" ht="15.75" x14ac:dyDescent="0.45">
      <c r="A977" s="26"/>
      <c r="B977" s="27"/>
      <c r="C977" s="12" t="s">
        <v>48</v>
      </c>
      <c r="D977" s="13">
        <v>1</v>
      </c>
      <c r="E977" s="32"/>
      <c r="F977" s="32"/>
      <c r="G977" s="31"/>
      <c r="H977" s="32"/>
    </row>
    <row r="978" spans="1:8" ht="15.75" x14ac:dyDescent="0.45">
      <c r="A978" s="1"/>
      <c r="B978" s="1"/>
      <c r="C978" s="114"/>
      <c r="D978" s="115"/>
      <c r="E978" s="115"/>
      <c r="F978" s="115"/>
      <c r="G978" s="116"/>
      <c r="H978" s="115"/>
    </row>
    <row r="979" spans="1:8" ht="31.5" x14ac:dyDescent="0.45">
      <c r="A979" s="10" t="s">
        <v>291</v>
      </c>
      <c r="B979" s="11" t="s">
        <v>101</v>
      </c>
      <c r="C979" s="12" t="s">
        <v>11</v>
      </c>
      <c r="D979" s="1"/>
      <c r="E979" s="17">
        <f>E976</f>
        <v>10</v>
      </c>
      <c r="F979" s="17">
        <v>500</v>
      </c>
      <c r="G979" s="16">
        <f>(C1019+D980)*E979/F979</f>
        <v>0.02</v>
      </c>
      <c r="H979" s="17">
        <f>G979*$K$3</f>
        <v>0.28999999999999998</v>
      </c>
    </row>
    <row r="980" spans="1:8" ht="15.75" x14ac:dyDescent="0.45">
      <c r="A980" s="26"/>
      <c r="B980" s="27"/>
      <c r="C980" s="12" t="s">
        <v>48</v>
      </c>
      <c r="D980" s="13">
        <v>1</v>
      </c>
      <c r="E980" s="32"/>
      <c r="F980" s="32"/>
      <c r="G980" s="31"/>
      <c r="H980" s="32"/>
    </row>
    <row r="981" spans="1:8" ht="15.75" x14ac:dyDescent="0.45">
      <c r="A981" s="1"/>
      <c r="B981" s="1"/>
      <c r="C981" s="1"/>
      <c r="D981" s="1"/>
      <c r="E981" s="1"/>
      <c r="F981" s="1"/>
      <c r="G981" s="1"/>
      <c r="H981" s="1"/>
    </row>
    <row r="982" spans="1:8" ht="31.5" x14ac:dyDescent="0.45">
      <c r="A982" s="10" t="s">
        <v>292</v>
      </c>
      <c r="B982" s="117" t="s">
        <v>155</v>
      </c>
      <c r="C982" s="12" t="s">
        <v>11</v>
      </c>
      <c r="D982" s="13">
        <v>6</v>
      </c>
      <c r="E982" s="17">
        <f>E979</f>
        <v>10</v>
      </c>
      <c r="F982" s="17">
        <v>1</v>
      </c>
      <c r="G982" s="16">
        <f>(D982+D983)*E982/F982</f>
        <v>70</v>
      </c>
      <c r="H982" s="17">
        <f>G982*$K$3</f>
        <v>1015</v>
      </c>
    </row>
    <row r="983" spans="1:8" ht="15.75" x14ac:dyDescent="0.45">
      <c r="A983" s="18"/>
      <c r="B983" s="118"/>
      <c r="C983" s="12" t="s">
        <v>48</v>
      </c>
      <c r="D983" s="13">
        <v>1</v>
      </c>
      <c r="E983" s="32"/>
      <c r="F983" s="32"/>
      <c r="G983" s="31"/>
      <c r="H983" s="32"/>
    </row>
    <row r="984" spans="1:8" ht="31.5" x14ac:dyDescent="0.45">
      <c r="A984" s="18"/>
      <c r="B984" s="118"/>
      <c r="C984" s="21" t="s">
        <v>200</v>
      </c>
      <c r="D984" s="22">
        <v>1</v>
      </c>
      <c r="E984" s="22">
        <f t="shared" ref="E984:E986" si="309">$E$990</f>
        <v>10</v>
      </c>
      <c r="F984" s="22">
        <f>F982</f>
        <v>1</v>
      </c>
      <c r="G984" s="25">
        <f t="shared" ref="G984:G986" si="310">D984*E984/F984</f>
        <v>10</v>
      </c>
      <c r="H984" s="22">
        <f>G984*O$1040</f>
        <v>0</v>
      </c>
    </row>
    <row r="985" spans="1:8" ht="15.75" x14ac:dyDescent="0.45">
      <c r="A985" s="18"/>
      <c r="B985" s="118"/>
      <c r="C985" s="103" t="s">
        <v>293</v>
      </c>
      <c r="D985" s="22">
        <v>0.5</v>
      </c>
      <c r="E985" s="22">
        <f t="shared" si="309"/>
        <v>10</v>
      </c>
      <c r="F985" s="22">
        <f t="shared" ref="F985:F986" si="311">F984</f>
        <v>1</v>
      </c>
      <c r="G985" s="25">
        <f t="shared" si="310"/>
        <v>5</v>
      </c>
      <c r="H985" s="22">
        <f>G985*$O$1037</f>
        <v>0</v>
      </c>
    </row>
    <row r="986" spans="1:8" ht="31.5" x14ac:dyDescent="0.45">
      <c r="A986" s="26"/>
      <c r="B986" s="119"/>
      <c r="C986" s="21" t="s">
        <v>294</v>
      </c>
      <c r="D986" s="22">
        <v>1</v>
      </c>
      <c r="E986" s="22">
        <f t="shared" si="309"/>
        <v>10</v>
      </c>
      <c r="F986" s="22">
        <f t="shared" si="311"/>
        <v>1</v>
      </c>
      <c r="G986" s="25">
        <f t="shared" si="310"/>
        <v>10</v>
      </c>
      <c r="H986" s="22">
        <f>G986*$O$1046</f>
        <v>0</v>
      </c>
    </row>
    <row r="987" spans="1:8" ht="15.75" x14ac:dyDescent="0.45">
      <c r="A987" s="1"/>
      <c r="B987" s="1"/>
      <c r="C987" s="1"/>
      <c r="D987" s="1"/>
      <c r="E987" s="1"/>
      <c r="F987" s="1"/>
      <c r="G987" s="1"/>
      <c r="H987" s="1"/>
    </row>
    <row r="988" spans="1:8" ht="15.75" x14ac:dyDescent="0.45">
      <c r="A988" s="1"/>
      <c r="B988" s="1"/>
      <c r="C988" s="1"/>
      <c r="D988" s="1"/>
      <c r="E988" s="2"/>
      <c r="F988" s="1"/>
      <c r="G988" s="1"/>
      <c r="H988" s="1"/>
    </row>
    <row r="989" spans="1:8" ht="15.75" x14ac:dyDescent="0.45">
      <c r="A989" s="1"/>
      <c r="B989" s="1"/>
      <c r="C989" s="1"/>
      <c r="D989" s="1"/>
      <c r="E989" s="2"/>
      <c r="F989" s="1"/>
      <c r="G989" s="1"/>
      <c r="H989" s="1"/>
    </row>
    <row r="990" spans="1:8" ht="31.5" x14ac:dyDescent="0.45">
      <c r="A990" s="120" t="s">
        <v>295</v>
      </c>
      <c r="B990" s="10" t="s">
        <v>22</v>
      </c>
      <c r="C990" s="12" t="s">
        <v>10</v>
      </c>
      <c r="D990" s="13">
        <v>5</v>
      </c>
      <c r="E990" s="121">
        <v>10</v>
      </c>
      <c r="F990" s="121">
        <v>1680</v>
      </c>
      <c r="G990" s="16">
        <f>(D990+D991+D992)*E990/F990</f>
        <v>2.976190476190476E-2</v>
      </c>
      <c r="H990" s="17">
        <f>G990*$K$3</f>
        <v>0.43154761904761901</v>
      </c>
    </row>
    <row r="991" spans="1:8" ht="31.5" x14ac:dyDescent="0.45">
      <c r="A991" s="122"/>
      <c r="B991" s="123"/>
      <c r="C991" s="12" t="s">
        <v>11</v>
      </c>
      <c r="D991" s="13"/>
      <c r="E991" s="123"/>
      <c r="F991" s="123"/>
      <c r="G991" s="36"/>
      <c r="H991" s="37"/>
    </row>
    <row r="992" spans="1:8" ht="15.75" x14ac:dyDescent="0.45">
      <c r="A992" s="122"/>
      <c r="B992" s="123"/>
      <c r="C992" s="12" t="s">
        <v>48</v>
      </c>
      <c r="D992" s="13"/>
      <c r="E992" s="124"/>
      <c r="F992" s="124"/>
      <c r="G992" s="31"/>
      <c r="H992" s="32"/>
    </row>
    <row r="993" spans="1:8" ht="31.5" x14ac:dyDescent="0.45">
      <c r="A993" s="122"/>
      <c r="B993" s="123"/>
      <c r="C993" s="21" t="s">
        <v>12</v>
      </c>
      <c r="D993" s="22">
        <v>0</v>
      </c>
      <c r="E993" s="22">
        <f t="shared" ref="E993:E997" si="312">$E$990</f>
        <v>10</v>
      </c>
      <c r="F993" s="22">
        <f t="shared" ref="F993:F997" si="313">$F$990</f>
        <v>1680</v>
      </c>
      <c r="G993" s="25">
        <f t="shared" ref="G993:G997" si="314">D993*E993/F993</f>
        <v>0</v>
      </c>
      <c r="H993" s="22">
        <f>G993*O$1022</f>
        <v>0</v>
      </c>
    </row>
    <row r="994" spans="1:8" ht="31.5" x14ac:dyDescent="0.45">
      <c r="A994" s="122"/>
      <c r="B994" s="123"/>
      <c r="C994" s="21" t="s">
        <v>52</v>
      </c>
      <c r="D994" s="22">
        <v>0.3</v>
      </c>
      <c r="E994" s="22">
        <f t="shared" si="312"/>
        <v>10</v>
      </c>
      <c r="F994" s="22">
        <f t="shared" si="313"/>
        <v>1680</v>
      </c>
      <c r="G994" s="25">
        <f t="shared" si="314"/>
        <v>1.7857142857142857E-3</v>
      </c>
      <c r="H994" s="22">
        <f>G994*$O$1026</f>
        <v>0</v>
      </c>
    </row>
    <row r="995" spans="1:8" ht="31.5" x14ac:dyDescent="0.45">
      <c r="A995" s="122"/>
      <c r="B995" s="123"/>
      <c r="C995" s="21" t="s">
        <v>296</v>
      </c>
      <c r="D995" s="22">
        <v>1.5</v>
      </c>
      <c r="E995" s="22">
        <f t="shared" si="312"/>
        <v>10</v>
      </c>
      <c r="F995" s="22">
        <f t="shared" si="313"/>
        <v>1680</v>
      </c>
      <c r="G995" s="25">
        <f t="shared" si="314"/>
        <v>8.9285714285714281E-3</v>
      </c>
      <c r="H995" s="22">
        <f>G995*$O$1057</f>
        <v>0</v>
      </c>
    </row>
    <row r="996" spans="1:8" ht="31.5" x14ac:dyDescent="0.45">
      <c r="A996" s="122"/>
      <c r="B996" s="123"/>
      <c r="C996" s="21" t="s">
        <v>297</v>
      </c>
      <c r="D996" s="22">
        <v>1</v>
      </c>
      <c r="E996" s="22">
        <f t="shared" si="312"/>
        <v>10</v>
      </c>
      <c r="F996" s="22">
        <f t="shared" si="313"/>
        <v>1680</v>
      </c>
      <c r="G996" s="25">
        <f t="shared" si="314"/>
        <v>5.9523809523809521E-3</v>
      </c>
      <c r="H996" s="22">
        <f>G996*$O$1056</f>
        <v>0</v>
      </c>
    </row>
    <row r="997" spans="1:8" ht="15.75" x14ac:dyDescent="0.45">
      <c r="A997" s="125"/>
      <c r="B997" s="124"/>
      <c r="C997" s="21" t="s">
        <v>161</v>
      </c>
      <c r="D997" s="22">
        <v>1</v>
      </c>
      <c r="E997" s="22">
        <f t="shared" si="312"/>
        <v>10</v>
      </c>
      <c r="F997" s="22">
        <f t="shared" si="313"/>
        <v>1680</v>
      </c>
      <c r="G997" s="25">
        <f t="shared" si="314"/>
        <v>5.9523809523809521E-3</v>
      </c>
      <c r="H997" s="22">
        <f>G997*$O$1055</f>
        <v>0</v>
      </c>
    </row>
    <row r="998" spans="1:8" ht="15.75" x14ac:dyDescent="0.45">
      <c r="A998" s="1"/>
      <c r="B998" s="1"/>
      <c r="C998" s="1"/>
      <c r="D998" s="1"/>
      <c r="E998" s="2"/>
      <c r="F998" s="1"/>
      <c r="G998" s="1"/>
      <c r="H998" s="126">
        <f>SUM(H993:H997)*C1012</f>
        <v>0</v>
      </c>
    </row>
    <row r="999" spans="1:8" ht="15.75" x14ac:dyDescent="0.45">
      <c r="A999" s="1"/>
      <c r="B999" s="1"/>
      <c r="C999" s="1"/>
      <c r="D999" s="1"/>
      <c r="E999" s="2"/>
      <c r="F999" s="1"/>
      <c r="G999" s="1"/>
      <c r="H999" s="1"/>
    </row>
    <row r="1000" spans="1:8" ht="31.5" x14ac:dyDescent="0.45">
      <c r="A1000" s="120" t="s">
        <v>298</v>
      </c>
      <c r="B1000" s="10" t="s">
        <v>22</v>
      </c>
      <c r="C1000" s="12" t="s">
        <v>10</v>
      </c>
      <c r="D1000" s="13">
        <v>6</v>
      </c>
      <c r="E1000" s="121">
        <v>10</v>
      </c>
      <c r="F1000" s="121">
        <v>500</v>
      </c>
      <c r="G1000" s="16">
        <f>(D1000+D1001+D1002)*E1000/F1000</f>
        <v>0.12</v>
      </c>
      <c r="H1000" s="17">
        <f>G1000*$K$3</f>
        <v>1.74</v>
      </c>
    </row>
    <row r="1001" spans="1:8" ht="31.5" x14ac:dyDescent="0.45">
      <c r="A1001" s="122"/>
      <c r="B1001" s="123"/>
      <c r="C1001" s="12" t="s">
        <v>11</v>
      </c>
      <c r="D1001" s="13"/>
      <c r="E1001" s="123"/>
      <c r="F1001" s="123"/>
      <c r="G1001" s="36"/>
      <c r="H1001" s="37"/>
    </row>
    <row r="1002" spans="1:8" ht="15.75" x14ac:dyDescent="0.45">
      <c r="A1002" s="122"/>
      <c r="B1002" s="123"/>
      <c r="C1002" s="12" t="s">
        <v>48</v>
      </c>
      <c r="D1002" s="13"/>
      <c r="E1002" s="124"/>
      <c r="F1002" s="124"/>
      <c r="G1002" s="31"/>
      <c r="H1002" s="32"/>
    </row>
    <row r="1003" spans="1:8" ht="31.5" x14ac:dyDescent="0.45">
      <c r="A1003" s="122"/>
      <c r="B1003" s="123"/>
      <c r="C1003" s="21" t="s">
        <v>12</v>
      </c>
      <c r="D1003" s="22">
        <v>1</v>
      </c>
      <c r="E1003" s="22">
        <f t="shared" ref="E1003:E1008" si="315">$E$990</f>
        <v>10</v>
      </c>
      <c r="F1003" s="22">
        <f t="shared" ref="F1003:F1004" si="316">$F$1000</f>
        <v>500</v>
      </c>
      <c r="G1003" s="25">
        <f t="shared" ref="G1003:G1008" si="317">D1003*E1003/F1003</f>
        <v>0.02</v>
      </c>
      <c r="H1003" s="22">
        <f>G1003*O$1022</f>
        <v>0</v>
      </c>
    </row>
    <row r="1004" spans="1:8" ht="15.75" x14ac:dyDescent="0.45">
      <c r="A1004" s="122"/>
      <c r="B1004" s="123"/>
      <c r="C1004" s="21" t="s">
        <v>299</v>
      </c>
      <c r="D1004" s="22">
        <v>1</v>
      </c>
      <c r="E1004" s="22">
        <f t="shared" si="315"/>
        <v>10</v>
      </c>
      <c r="F1004" s="22">
        <f t="shared" si="316"/>
        <v>500</v>
      </c>
      <c r="G1004" s="25">
        <f t="shared" si="317"/>
        <v>0.02</v>
      </c>
      <c r="H1004" s="22">
        <f>G1004*$O$1055</f>
        <v>0</v>
      </c>
    </row>
    <row r="1005" spans="1:8" ht="31.5" x14ac:dyDescent="0.45">
      <c r="A1005" s="122"/>
      <c r="B1005" s="123"/>
      <c r="C1005" s="21" t="s">
        <v>296</v>
      </c>
      <c r="D1005" s="22">
        <v>1</v>
      </c>
      <c r="E1005" s="22">
        <f t="shared" si="315"/>
        <v>10</v>
      </c>
      <c r="F1005" s="22">
        <f>F1000</f>
        <v>500</v>
      </c>
      <c r="G1005" s="25">
        <f t="shared" si="317"/>
        <v>0.02</v>
      </c>
      <c r="H1005" s="22">
        <f>G1005*$O$1057</f>
        <v>0</v>
      </c>
    </row>
    <row r="1006" spans="1:8" ht="31.5" x14ac:dyDescent="0.45">
      <c r="A1006" s="122"/>
      <c r="B1006" s="123"/>
      <c r="C1006" s="21" t="s">
        <v>300</v>
      </c>
      <c r="D1006" s="22">
        <v>0.8</v>
      </c>
      <c r="E1006" s="22">
        <f t="shared" si="315"/>
        <v>10</v>
      </c>
      <c r="F1006" s="22">
        <f t="shared" ref="F1006:F1008" si="318">$F$1000</f>
        <v>500</v>
      </c>
      <c r="G1006" s="25">
        <f t="shared" si="317"/>
        <v>1.6E-2</v>
      </c>
      <c r="H1006" s="22">
        <f>G1006*$O$1030</f>
        <v>0</v>
      </c>
    </row>
    <row r="1007" spans="1:8" ht="31.5" x14ac:dyDescent="0.45">
      <c r="A1007" s="122"/>
      <c r="B1007" s="123"/>
      <c r="C1007" s="21" t="s">
        <v>52</v>
      </c>
      <c r="D1007" s="22">
        <v>0.5</v>
      </c>
      <c r="E1007" s="22">
        <f t="shared" si="315"/>
        <v>10</v>
      </c>
      <c r="F1007" s="22">
        <f t="shared" si="318"/>
        <v>500</v>
      </c>
      <c r="G1007" s="25">
        <f t="shared" si="317"/>
        <v>0.01</v>
      </c>
      <c r="H1007" s="22">
        <f>G1007*$O$1026</f>
        <v>0</v>
      </c>
    </row>
    <row r="1008" spans="1:8" ht="31.5" x14ac:dyDescent="0.45">
      <c r="A1008" s="125"/>
      <c r="B1008" s="124"/>
      <c r="C1008" s="21" t="s">
        <v>167</v>
      </c>
      <c r="D1008" s="22">
        <v>1</v>
      </c>
      <c r="E1008" s="22">
        <f t="shared" si="315"/>
        <v>10</v>
      </c>
      <c r="F1008" s="22">
        <f t="shared" si="318"/>
        <v>500</v>
      </c>
      <c r="G1008" s="25">
        <f t="shared" si="317"/>
        <v>0.02</v>
      </c>
      <c r="H1008" s="22">
        <f>G1008*$O$1038</f>
        <v>0</v>
      </c>
    </row>
    <row r="1009" spans="1:8" ht="15.75" x14ac:dyDescent="0.45">
      <c r="A1009" s="1"/>
      <c r="B1009" s="1"/>
      <c r="C1009" s="1"/>
      <c r="D1009" s="1"/>
      <c r="E1009" s="1"/>
      <c r="F1009" s="1"/>
      <c r="G1009" s="1"/>
      <c r="H1009" s="1"/>
    </row>
  </sheetData>
  <mergeCells count="266">
    <mergeCell ref="B990:B997"/>
    <mergeCell ref="E990:E992"/>
    <mergeCell ref="F990:F992"/>
    <mergeCell ref="A1000:A1008"/>
    <mergeCell ref="B1000:B1008"/>
    <mergeCell ref="E1000:E1002"/>
    <mergeCell ref="F1000:F1002"/>
    <mergeCell ref="A964:A965"/>
    <mergeCell ref="A967:A968"/>
    <mergeCell ref="A976:A977"/>
    <mergeCell ref="A979:A980"/>
    <mergeCell ref="A982:A986"/>
    <mergeCell ref="A990:A997"/>
    <mergeCell ref="A946:A947"/>
    <mergeCell ref="A949:A950"/>
    <mergeCell ref="A952:A953"/>
    <mergeCell ref="A955:A956"/>
    <mergeCell ref="A958:A959"/>
    <mergeCell ref="A961:A962"/>
    <mergeCell ref="A928:A929"/>
    <mergeCell ref="A931:A932"/>
    <mergeCell ref="A934:A935"/>
    <mergeCell ref="A937:A938"/>
    <mergeCell ref="A940:A941"/>
    <mergeCell ref="A943:A944"/>
    <mergeCell ref="A909:A911"/>
    <mergeCell ref="A913:A914"/>
    <mergeCell ref="A916:A917"/>
    <mergeCell ref="A919:A920"/>
    <mergeCell ref="A922:A923"/>
    <mergeCell ref="A925:A926"/>
    <mergeCell ref="A873:A877"/>
    <mergeCell ref="A879:A883"/>
    <mergeCell ref="A885:A889"/>
    <mergeCell ref="A891:A895"/>
    <mergeCell ref="A897:A899"/>
    <mergeCell ref="A901:A903"/>
    <mergeCell ref="A839:A843"/>
    <mergeCell ref="A845:A847"/>
    <mergeCell ref="A849:A853"/>
    <mergeCell ref="A855:A859"/>
    <mergeCell ref="A861:A865"/>
    <mergeCell ref="A867:A871"/>
    <mergeCell ref="C817:D817"/>
    <mergeCell ref="A818:A821"/>
    <mergeCell ref="A823:A827"/>
    <mergeCell ref="A829:A831"/>
    <mergeCell ref="A833:A837"/>
    <mergeCell ref="B833:B837"/>
    <mergeCell ref="A799:A803"/>
    <mergeCell ref="B799:B803"/>
    <mergeCell ref="A805:A808"/>
    <mergeCell ref="B805:B808"/>
    <mergeCell ref="A810:A813"/>
    <mergeCell ref="B810:B813"/>
    <mergeCell ref="A782:A786"/>
    <mergeCell ref="B782:B786"/>
    <mergeCell ref="A788:A792"/>
    <mergeCell ref="B788:B792"/>
    <mergeCell ref="A794:A797"/>
    <mergeCell ref="B794:B797"/>
    <mergeCell ref="A762:A768"/>
    <mergeCell ref="B762:B768"/>
    <mergeCell ref="A770:A774"/>
    <mergeCell ref="B770:B774"/>
    <mergeCell ref="A776:A780"/>
    <mergeCell ref="B776:B780"/>
    <mergeCell ref="A743:A748"/>
    <mergeCell ref="B743:B748"/>
    <mergeCell ref="A750:A754"/>
    <mergeCell ref="B750:B754"/>
    <mergeCell ref="A756:A760"/>
    <mergeCell ref="B756:B760"/>
    <mergeCell ref="A723:A727"/>
    <mergeCell ref="B723:B727"/>
    <mergeCell ref="A729:A734"/>
    <mergeCell ref="B729:B734"/>
    <mergeCell ref="A736:A741"/>
    <mergeCell ref="B736:B741"/>
    <mergeCell ref="A699:A706"/>
    <mergeCell ref="B699:B706"/>
    <mergeCell ref="A708:A715"/>
    <mergeCell ref="B708:B715"/>
    <mergeCell ref="A717:A721"/>
    <mergeCell ref="B717:B721"/>
    <mergeCell ref="A672:A676"/>
    <mergeCell ref="B672:B676"/>
    <mergeCell ref="A678:A686"/>
    <mergeCell ref="B678:B686"/>
    <mergeCell ref="A688:A697"/>
    <mergeCell ref="B688:B697"/>
    <mergeCell ref="A656:A661"/>
    <mergeCell ref="B656:B661"/>
    <mergeCell ref="A663:A667"/>
    <mergeCell ref="B663:B667"/>
    <mergeCell ref="A669:A670"/>
    <mergeCell ref="B669:B670"/>
    <mergeCell ref="A636:A640"/>
    <mergeCell ref="B636:B640"/>
    <mergeCell ref="A642:A647"/>
    <mergeCell ref="B642:B647"/>
    <mergeCell ref="A649:A654"/>
    <mergeCell ref="B649:B654"/>
    <mergeCell ref="A618:A622"/>
    <mergeCell ref="B618:B622"/>
    <mergeCell ref="A624:A628"/>
    <mergeCell ref="B624:B628"/>
    <mergeCell ref="A630:A634"/>
    <mergeCell ref="B630:B634"/>
    <mergeCell ref="A600:A604"/>
    <mergeCell ref="B600:B604"/>
    <mergeCell ref="A606:A610"/>
    <mergeCell ref="B606:B610"/>
    <mergeCell ref="A612:A616"/>
    <mergeCell ref="B612:B616"/>
    <mergeCell ref="A582:A586"/>
    <mergeCell ref="B582:B586"/>
    <mergeCell ref="A588:A592"/>
    <mergeCell ref="B588:B592"/>
    <mergeCell ref="A594:A598"/>
    <mergeCell ref="B594:B598"/>
    <mergeCell ref="A564:A568"/>
    <mergeCell ref="B564:B568"/>
    <mergeCell ref="A570:A574"/>
    <mergeCell ref="B570:B574"/>
    <mergeCell ref="A576:A580"/>
    <mergeCell ref="B576:B580"/>
    <mergeCell ref="A545:A550"/>
    <mergeCell ref="B545:B550"/>
    <mergeCell ref="A552:A556"/>
    <mergeCell ref="B552:B556"/>
    <mergeCell ref="A558:A562"/>
    <mergeCell ref="B558:B562"/>
    <mergeCell ref="A525:A529"/>
    <mergeCell ref="B525:B529"/>
    <mergeCell ref="A531:A536"/>
    <mergeCell ref="B531:B536"/>
    <mergeCell ref="A538:A543"/>
    <mergeCell ref="B538:B543"/>
    <mergeCell ref="A503:A511"/>
    <mergeCell ref="B503:B511"/>
    <mergeCell ref="A513:A517"/>
    <mergeCell ref="B513:B517"/>
    <mergeCell ref="A519:A523"/>
    <mergeCell ref="B519:B523"/>
    <mergeCell ref="A485:A489"/>
    <mergeCell ref="B485:B489"/>
    <mergeCell ref="A491:A495"/>
    <mergeCell ref="B491:B495"/>
    <mergeCell ref="A497:A501"/>
    <mergeCell ref="B497:B501"/>
    <mergeCell ref="A467:A471"/>
    <mergeCell ref="B467:B471"/>
    <mergeCell ref="A473:A477"/>
    <mergeCell ref="B473:B477"/>
    <mergeCell ref="A479:A483"/>
    <mergeCell ref="B479:B483"/>
    <mergeCell ref="A449:A453"/>
    <mergeCell ref="B449:B453"/>
    <mergeCell ref="A455:A459"/>
    <mergeCell ref="B455:B459"/>
    <mergeCell ref="A461:A465"/>
    <mergeCell ref="B461:B465"/>
    <mergeCell ref="A430:A434"/>
    <mergeCell ref="B430:B434"/>
    <mergeCell ref="A436:A440"/>
    <mergeCell ref="B436:B440"/>
    <mergeCell ref="A442:A447"/>
    <mergeCell ref="B442:B447"/>
    <mergeCell ref="A411:A415"/>
    <mergeCell ref="B411:B415"/>
    <mergeCell ref="A418:A422"/>
    <mergeCell ref="B418:B422"/>
    <mergeCell ref="A424:A428"/>
    <mergeCell ref="B424:B428"/>
    <mergeCell ref="A393:A397"/>
    <mergeCell ref="B393:B397"/>
    <mergeCell ref="A399:A403"/>
    <mergeCell ref="B399:B403"/>
    <mergeCell ref="A405:A409"/>
    <mergeCell ref="B405:B409"/>
    <mergeCell ref="A374:A379"/>
    <mergeCell ref="B374:B379"/>
    <mergeCell ref="A381:A385"/>
    <mergeCell ref="B381:B385"/>
    <mergeCell ref="A387:A391"/>
    <mergeCell ref="B387:B391"/>
    <mergeCell ref="A338:A341"/>
    <mergeCell ref="A343:A347"/>
    <mergeCell ref="A350:A353"/>
    <mergeCell ref="C363:D363"/>
    <mergeCell ref="A364:A372"/>
    <mergeCell ref="B364:B372"/>
    <mergeCell ref="A301:A305"/>
    <mergeCell ref="A307:A311"/>
    <mergeCell ref="A313:A318"/>
    <mergeCell ref="A320:A324"/>
    <mergeCell ref="A326:A330"/>
    <mergeCell ref="A332:A336"/>
    <mergeCell ref="A271:A274"/>
    <mergeCell ref="A276:A279"/>
    <mergeCell ref="A281:A284"/>
    <mergeCell ref="A286:A289"/>
    <mergeCell ref="A291:A294"/>
    <mergeCell ref="A296:A299"/>
    <mergeCell ref="A247:A248"/>
    <mergeCell ref="A250:A252"/>
    <mergeCell ref="A254:A256"/>
    <mergeCell ref="A258:A260"/>
    <mergeCell ref="A263:A265"/>
    <mergeCell ref="A267:A269"/>
    <mergeCell ref="A223:A226"/>
    <mergeCell ref="A228:A232"/>
    <mergeCell ref="A234:A238"/>
    <mergeCell ref="B234:B238"/>
    <mergeCell ref="A240:A241"/>
    <mergeCell ref="A243:A245"/>
    <mergeCell ref="A193:A196"/>
    <mergeCell ref="A198:A201"/>
    <mergeCell ref="A203:A206"/>
    <mergeCell ref="A208:A211"/>
    <mergeCell ref="A213:A216"/>
    <mergeCell ref="A218:A221"/>
    <mergeCell ref="A175:A179"/>
    <mergeCell ref="B175:B179"/>
    <mergeCell ref="A181:A185"/>
    <mergeCell ref="B181:B185"/>
    <mergeCell ref="A187:A191"/>
    <mergeCell ref="B187:B191"/>
    <mergeCell ref="A153:A158"/>
    <mergeCell ref="B153:B158"/>
    <mergeCell ref="A163:A167"/>
    <mergeCell ref="B163:B167"/>
    <mergeCell ref="A169:A173"/>
    <mergeCell ref="B169:B173"/>
    <mergeCell ref="A124:A130"/>
    <mergeCell ref="B124:B130"/>
    <mergeCell ref="A134:A140"/>
    <mergeCell ref="B134:B140"/>
    <mergeCell ref="A144:A149"/>
    <mergeCell ref="B144:B149"/>
    <mergeCell ref="A99:A104"/>
    <mergeCell ref="B99:B104"/>
    <mergeCell ref="A107:A113"/>
    <mergeCell ref="B107:B113"/>
    <mergeCell ref="A116:A121"/>
    <mergeCell ref="B116:B121"/>
    <mergeCell ref="B78:B82"/>
    <mergeCell ref="A84:A89"/>
    <mergeCell ref="B84:B89"/>
    <mergeCell ref="A91:A93"/>
    <mergeCell ref="B91:B93"/>
    <mergeCell ref="A95:A97"/>
    <mergeCell ref="B95:B97"/>
    <mergeCell ref="A32:A39"/>
    <mergeCell ref="A51:A59"/>
    <mergeCell ref="A62:A65"/>
    <mergeCell ref="A67:A70"/>
    <mergeCell ref="A72:A76"/>
    <mergeCell ref="A78:A82"/>
    <mergeCell ref="C3:D3"/>
    <mergeCell ref="A4:A7"/>
    <mergeCell ref="A9:A13"/>
    <mergeCell ref="A15:A21"/>
    <mergeCell ref="B15:B21"/>
    <mergeCell ref="A23:A3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Maalla</dc:creator>
  <cp:lastModifiedBy>Maher Maalla</cp:lastModifiedBy>
  <dcterms:created xsi:type="dcterms:W3CDTF">2015-06-05T18:17:20Z</dcterms:created>
  <dcterms:modified xsi:type="dcterms:W3CDTF">2026-01-22T22:22:51Z</dcterms:modified>
</cp:coreProperties>
</file>